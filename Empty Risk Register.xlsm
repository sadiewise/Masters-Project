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12"/>
  <workbookPr codeName="ThisWorkbook"/>
  <mc:AlternateContent xmlns:mc="http://schemas.openxmlformats.org/markup-compatibility/2006">
    <mc:Choice Requires="x15">
      <x15ac:absPath xmlns:x15ac="http://schemas.microsoft.com/office/spreadsheetml/2010/11/ac" url="https://uweacuk-my.sharepoint.com/personal/sadie2_wise_live_uwe_ac_uk/Documents/Documents/Data Science/Masters Project/"/>
    </mc:Choice>
  </mc:AlternateContent>
  <xr:revisionPtr revIDLastSave="19" documentId="8_{8FD275FD-56A7-4CA3-ADBF-D4A0F01AAD0E}" xr6:coauthVersionLast="47" xr6:coauthVersionMax="47" xr10:uidLastSave="{CC98A9F3-A4A8-4FAF-AA67-200D1CF07A49}"/>
  <bookViews>
    <workbookView xWindow="-108" yWindow="-108" windowWidth="23256" windowHeight="12456" firstSheet="1" activeTab="1" xr2:uid="{00000000-000D-0000-FFFF-FFFF00000000}"/>
  </bookViews>
  <sheets>
    <sheet name="Risk register" sheetId="8" r:id="rId1"/>
    <sheet name="Worked Example" sheetId="9" r:id="rId2"/>
    <sheet name="scoring" sheetId="5" r:id="rId3"/>
  </sheets>
  <definedNames>
    <definedName name="_xlnm._FilterDatabase" localSheetId="2" hidden="1">scoring!$N$2:$N$10</definedName>
    <definedName name="_xlnm.Print_Area" localSheetId="2">scoring!$A$2:$I$10</definedName>
    <definedName name="_xlnm.Print_Titles" localSheetId="2">scoring!$2:$4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3" i="9" l="1"/>
  <c r="F33" i="9"/>
  <c r="J32" i="9"/>
  <c r="F32" i="9"/>
  <c r="J31" i="9"/>
  <c r="F31" i="9"/>
  <c r="J30" i="9"/>
  <c r="F30" i="9"/>
  <c r="J29" i="9"/>
  <c r="F29" i="9"/>
  <c r="J28" i="9"/>
  <c r="F28" i="9"/>
  <c r="J27" i="9"/>
  <c r="F27" i="9"/>
  <c r="J26" i="9"/>
  <c r="F26" i="9"/>
  <c r="J25" i="9"/>
  <c r="F25" i="9"/>
  <c r="J24" i="9"/>
  <c r="F24" i="9"/>
  <c r="J23" i="9"/>
  <c r="F23" i="9"/>
  <c r="J22" i="9"/>
  <c r="F22" i="9"/>
  <c r="J21" i="9"/>
  <c r="F21" i="9"/>
  <c r="J20" i="9"/>
  <c r="F20" i="9"/>
  <c r="J19" i="9"/>
  <c r="F19" i="9"/>
  <c r="J18" i="9"/>
  <c r="F18" i="9"/>
  <c r="J17" i="9"/>
  <c r="F17" i="9"/>
  <c r="J16" i="9"/>
  <c r="F16" i="9"/>
  <c r="J15" i="9"/>
  <c r="F15" i="9"/>
  <c r="J14" i="9"/>
  <c r="F14" i="9"/>
  <c r="J13" i="9"/>
  <c r="F13" i="9"/>
  <c r="J12" i="9"/>
  <c r="F12" i="9"/>
  <c r="J11" i="9"/>
  <c r="F11" i="9"/>
  <c r="J10" i="9"/>
  <c r="F10" i="9"/>
  <c r="J9" i="9"/>
  <c r="F9" i="9"/>
  <c r="J8" i="9"/>
  <c r="F8" i="9"/>
  <c r="J7" i="9"/>
  <c r="F7" i="9"/>
  <c r="J6" i="9"/>
  <c r="F6" i="9"/>
  <c r="J5" i="9"/>
  <c r="F5" i="9"/>
  <c r="J4" i="9"/>
  <c r="F4" i="9"/>
  <c r="J3" i="9"/>
  <c r="F3" i="9"/>
  <c r="J2" i="9"/>
  <c r="F2" i="9"/>
  <c r="F2" i="8"/>
  <c r="F33" i="8"/>
  <c r="J33" i="8"/>
  <c r="K33" i="8"/>
  <c r="F32" i="8"/>
  <c r="J32" i="8"/>
  <c r="K32" i="8"/>
  <c r="F31" i="8"/>
  <c r="J31" i="8"/>
  <c r="K31" i="8"/>
  <c r="F30" i="8"/>
  <c r="J30" i="8"/>
  <c r="K30" i="8"/>
  <c r="F29" i="8"/>
  <c r="J29" i="8"/>
  <c r="K29" i="8"/>
  <c r="F28" i="8"/>
  <c r="J28" i="8"/>
  <c r="K28" i="8"/>
  <c r="F27" i="8"/>
  <c r="J27" i="8"/>
  <c r="K27" i="8"/>
  <c r="F24" i="8"/>
  <c r="J24" i="8"/>
  <c r="K24" i="8"/>
  <c r="F25" i="8"/>
  <c r="J25" i="8"/>
  <c r="K25" i="8"/>
  <c r="K3" i="8"/>
  <c r="J3" i="8"/>
  <c r="K4" i="8"/>
  <c r="K5" i="8"/>
  <c r="K6" i="8"/>
  <c r="K7" i="8"/>
  <c r="K8" i="8"/>
  <c r="K9" i="8"/>
  <c r="K10" i="8"/>
  <c r="K11" i="8"/>
  <c r="K12" i="8"/>
  <c r="K13" i="8"/>
  <c r="K14" i="8"/>
  <c r="K15" i="8"/>
  <c r="K16" i="8"/>
  <c r="K17" i="8"/>
  <c r="K18" i="8"/>
  <c r="K19" i="8"/>
  <c r="K20" i="8"/>
  <c r="K21" i="8"/>
  <c r="K22" i="8"/>
  <c r="K23" i="8"/>
  <c r="K26" i="8"/>
  <c r="J4" i="8"/>
  <c r="J5" i="8"/>
  <c r="J6" i="8"/>
  <c r="J7" i="8"/>
  <c r="J8" i="8"/>
  <c r="J9" i="8"/>
  <c r="J10" i="8"/>
  <c r="J11" i="8"/>
  <c r="J12" i="8"/>
  <c r="J13" i="8"/>
  <c r="J14" i="8"/>
  <c r="J15" i="8"/>
  <c r="J16" i="8"/>
  <c r="J17" i="8"/>
  <c r="J18" i="8"/>
  <c r="J19" i="8"/>
  <c r="J20" i="8"/>
  <c r="J21" i="8"/>
  <c r="J22" i="8"/>
  <c r="J23" i="8"/>
  <c r="J26" i="8"/>
  <c r="F26" i="8"/>
  <c r="F23" i="8"/>
  <c r="F22" i="8"/>
  <c r="F21" i="8"/>
  <c r="F20" i="8"/>
  <c r="F19" i="8"/>
  <c r="F18" i="8"/>
  <c r="F17" i="8"/>
  <c r="F16" i="8"/>
  <c r="F15" i="8"/>
  <c r="F14" i="8"/>
  <c r="F13" i="8"/>
  <c r="F12" i="8"/>
  <c r="F11" i="8"/>
  <c r="F10" i="8"/>
  <c r="F9" i="8"/>
  <c r="F8" i="8"/>
  <c r="F7" i="8"/>
  <c r="F6" i="8"/>
  <c r="F5" i="8"/>
  <c r="F4" i="8"/>
  <c r="F3" i="8"/>
  <c r="F5" i="5"/>
  <c r="G5" i="5"/>
  <c r="H5" i="5"/>
  <c r="I5" i="5"/>
  <c r="F6" i="5"/>
  <c r="G6" i="5"/>
  <c r="H6" i="5"/>
  <c r="I6" i="5"/>
  <c r="F7" i="5"/>
  <c r="G7" i="5"/>
  <c r="H7" i="5"/>
  <c r="I7" i="5"/>
  <c r="F8" i="5"/>
  <c r="G8" i="5"/>
  <c r="H8" i="5"/>
  <c r="I8" i="5"/>
  <c r="F9" i="5"/>
  <c r="G9" i="5"/>
  <c r="H9" i="5"/>
  <c r="I9" i="5"/>
  <c r="E9" i="5"/>
  <c r="E8" i="5"/>
  <c r="E7" i="5"/>
  <c r="E6" i="5"/>
  <c r="E5" i="5"/>
  <c r="L33" i="8" l="1"/>
  <c r="M33" i="8" s="1"/>
  <c r="L32" i="8"/>
  <c r="M32" i="8" s="1"/>
  <c r="L31" i="8"/>
  <c r="M31" i="8" s="1"/>
  <c r="L30" i="8"/>
  <c r="M30" i="8" s="1"/>
  <c r="L28" i="8"/>
  <c r="M28" i="8" s="1"/>
  <c r="L29" i="8"/>
  <c r="M29" i="8" s="1"/>
  <c r="L27" i="8"/>
  <c r="M27" i="8" s="1"/>
  <c r="L4" i="8"/>
  <c r="M4" i="8" s="1"/>
  <c r="L23" i="8"/>
  <c r="M23" i="8" s="1"/>
  <c r="L24" i="8"/>
  <c r="M24" i="8" s="1"/>
  <c r="L22" i="8"/>
  <c r="M22" i="8" s="1"/>
  <c r="L14" i="8"/>
  <c r="M14" i="8" s="1"/>
  <c r="L6" i="8"/>
  <c r="M6" i="8" s="1"/>
  <c r="L20" i="8"/>
  <c r="M20" i="8" s="1"/>
  <c r="L12" i="8"/>
  <c r="M12" i="8" s="1"/>
  <c r="L25" i="8"/>
  <c r="M25" i="8" s="1"/>
  <c r="L21" i="8"/>
  <c r="M21" i="8" s="1"/>
  <c r="L10" i="8"/>
  <c r="M10" i="8" s="1"/>
  <c r="L18" i="8"/>
  <c r="M18" i="8" s="1"/>
  <c r="L26" i="8"/>
  <c r="M26" i="8" s="1"/>
  <c r="L16" i="8"/>
  <c r="M16" i="8" s="1"/>
  <c r="L8" i="8"/>
  <c r="M8" i="8" s="1"/>
  <c r="L9" i="8"/>
  <c r="M9" i="8" s="1"/>
  <c r="L7" i="8"/>
  <c r="M7" i="8" s="1"/>
  <c r="L5" i="8"/>
  <c r="M5" i="8" s="1"/>
  <c r="L2" i="8"/>
  <c r="M2" i="8" s="1"/>
  <c r="L3" i="8"/>
  <c r="M3" i="8" s="1"/>
  <c r="L11" i="8"/>
  <c r="M11" i="8" s="1"/>
  <c r="L13" i="8"/>
  <c r="M13" i="8" s="1"/>
  <c r="L15" i="8"/>
  <c r="M15" i="8" s="1"/>
  <c r="L17" i="8"/>
  <c r="M17" i="8" s="1"/>
  <c r="L19" i="8"/>
  <c r="M19"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Gary Hinson</author>
  </authors>
  <commentList>
    <comment ref="A1" authorId="0" shapeId="0" xr:uid="{00000000-0006-0000-0100-000001000000}">
      <text>
        <r>
          <rPr>
            <b/>
            <sz val="8"/>
            <color indexed="81"/>
            <rFont val="Tahoma"/>
          </rPr>
          <t>Assign a unique identifier for each risk.  Any duplicates will go red.</t>
        </r>
      </text>
    </comment>
    <comment ref="B1" authorId="0" shapeId="0" xr:uid="{00000000-0006-0000-0100-000002000000}">
      <text>
        <r>
          <rPr>
            <b/>
            <sz val="8"/>
            <color indexed="81"/>
            <rFont val="Tahoma"/>
            <family val="2"/>
          </rPr>
          <t>Briefly describe the risk</t>
        </r>
      </text>
    </comment>
    <comment ref="C1" authorId="0" shapeId="0" xr:uid="{00000000-0006-0000-0100-000004000000}">
      <text>
        <r>
          <rPr>
            <b/>
            <sz val="8"/>
            <color indexed="81"/>
            <rFont val="Tahoma"/>
            <family val="2"/>
          </rPr>
          <t xml:space="preserve">Describe (in business terms) what impact the risk would have on the organization if it occurred. </t>
        </r>
      </text>
    </comment>
    <comment ref="D1" authorId="0" shapeId="0" xr:uid="{00000000-0006-0000-0100-000005000000}">
      <text>
        <r>
          <rPr>
            <b/>
            <sz val="8"/>
            <color indexed="81"/>
            <rFont val="Tahoma"/>
          </rPr>
          <t>What is the probability of this risk occurring, if there were no risk treatments in place?  
Enter a percentage value where 0% = impossible and 100% = certain.</t>
        </r>
      </text>
    </comment>
    <comment ref="E1" authorId="0" shapeId="0" xr:uid="{00000000-0006-0000-0100-000006000000}">
      <text>
        <r>
          <rPr>
            <b/>
            <sz val="8"/>
            <color indexed="81"/>
            <rFont val="Tahoma"/>
          </rPr>
          <t>How serious would it be if this risk occurred, assuming there were no risk treatments in place?   Enter a percentage value where 0% = no impact at all, and 100% = total disaster.</t>
        </r>
      </text>
    </comment>
    <comment ref="F1" authorId="1" shapeId="0" xr:uid="{00000000-0006-0000-0100-000007000000}">
      <text>
        <r>
          <rPr>
            <b/>
            <sz val="8"/>
            <color indexed="81"/>
            <rFont val="Tahoma"/>
            <family val="2"/>
          </rPr>
          <t>The risk ratings and colors are calculated automatically from the product of the raw probabilities and impacts.  DO NOT EDIT
 THIS COLUMN!</t>
        </r>
      </text>
    </comment>
    <comment ref="G1" authorId="0" shapeId="0" xr:uid="{00000000-0006-0000-0100-000008000000}">
      <text>
        <r>
          <rPr>
            <b/>
            <sz val="8"/>
            <color indexed="81"/>
            <rFont val="Tahoma"/>
            <family val="2"/>
          </rPr>
          <t>Describe how the risk is to be treated: remember, it can be controlled, transferred, avoided or accepted.</t>
        </r>
        <r>
          <rPr>
            <sz val="8"/>
            <color indexed="81"/>
            <rFont val="Tahoma"/>
          </rPr>
          <t xml:space="preserve">
</t>
        </r>
      </text>
    </comment>
    <comment ref="H1" authorId="1" shapeId="0" xr:uid="{00000000-0006-0000-0100-000009000000}">
      <text>
        <r>
          <rPr>
            <b/>
            <sz val="8"/>
            <color indexed="81"/>
            <rFont val="Tahoma"/>
            <family val="2"/>
          </rPr>
          <t xml:space="preserve">How much will it cost to implement the treatment?
</t>
        </r>
      </text>
    </comment>
    <comment ref="I1" authorId="0" shapeId="0" xr:uid="{00000000-0006-0000-0100-00000A000000}">
      <text>
        <r>
          <rPr>
            <b/>
            <sz val="8"/>
            <color indexed="81"/>
            <rFont val="Tahoma"/>
            <family val="2"/>
          </rPr>
          <t>100% means the treatment is fully in place and operational.  0% means nothing has been done yet to mitigate the risk.</t>
        </r>
      </text>
    </comment>
    <comment ref="J1" authorId="0" shapeId="0" xr:uid="{00000000-0006-0000-0100-00000B000000}">
      <text>
        <r>
          <rPr>
            <b/>
            <sz val="8"/>
            <color indexed="81"/>
            <rFont val="Tahoma"/>
          </rPr>
          <t>What is the probability of this risk occurring, once the risk is fully treated?  Enter a percentage value where 0% = impossible and 100% = certain.  If the treated values differ from the raw values, they go bold.</t>
        </r>
      </text>
    </comment>
    <comment ref="K1" authorId="0" shapeId="0" xr:uid="{00000000-0006-0000-0100-00000C000000}">
      <text>
        <r>
          <rPr>
            <b/>
            <sz val="8"/>
            <color indexed="81"/>
            <rFont val="Tahoma"/>
          </rPr>
          <t>How serious would it be if this risk occurred, assuming the risk is fully treated?   Enter a percentage value where 0% = no impact at all, and 100% = total disaster.  If the treated values differ from the raw values, they go bold.</t>
        </r>
      </text>
    </comment>
    <comment ref="L1" authorId="1" shapeId="0" xr:uid="{00000000-0006-0000-0100-00000D000000}">
      <text>
        <r>
          <rPr>
            <b/>
            <sz val="8"/>
            <color indexed="81"/>
            <rFont val="Tahoma"/>
            <family val="2"/>
          </rPr>
          <t>The risk ratings and colors are calculated automatically from the product of the raw probabilities and impacts.  DO NOT EDIT
 THIS COLUMN!</t>
        </r>
      </text>
    </comment>
    <comment ref="M1" authorId="2" shapeId="0" xr:uid="{00000000-0006-0000-0100-00000E000000}">
      <text>
        <r>
          <rPr>
            <b/>
            <sz val="9"/>
            <color indexed="81"/>
            <rFont val="Tahoma"/>
            <family val="2"/>
          </rPr>
          <t>The risk ratings and colors are calculated automatically from the product of the raw probabilities and impacts.  DO NOT EDIT
 THIS COLUMN!</t>
        </r>
      </text>
    </comment>
  </commentList>
</comments>
</file>

<file path=xl/sharedStrings.xml><?xml version="1.0" encoding="utf-8"?>
<sst xmlns="http://schemas.openxmlformats.org/spreadsheetml/2006/main" count="207" uniqueCount="163">
  <si>
    <t xml:space="preserve">    Risk ID
</t>
  </si>
  <si>
    <t>Risk</t>
  </si>
  <si>
    <t>Impact</t>
  </si>
  <si>
    <t xml:space="preserve">    Raw probability</t>
  </si>
  <si>
    <t xml:space="preserve">    Raw impact</t>
  </si>
  <si>
    <t xml:space="preserve">    Raw risk rating</t>
  </si>
  <si>
    <t>Treatment</t>
  </si>
  <si>
    <t xml:space="preserve">    Treatment cost</t>
  </si>
  <si>
    <t xml:space="preserve">    Treatment status</t>
  </si>
  <si>
    <t xml:space="preserve">    Treated probability</t>
  </si>
  <si>
    <t xml:space="preserve">    Treated impact</t>
  </si>
  <si>
    <t xml:space="preserve">    Target risk rating</t>
  </si>
  <si>
    <t xml:space="preserve">    Current risk rating</t>
  </si>
  <si>
    <t>Notes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</si>
  <si>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</si>
  <si>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</si>
  <si>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</si>
  <si>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</si>
  <si>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</si>
  <si>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</si>
  <si>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</si>
  <si>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</si>
  <si>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</si>
  <si>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</si>
  <si>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</si>
  <si>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</si>
  <si>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</si>
  <si>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</si>
  <si>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</si>
  <si>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</si>
  <si>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</si>
  <si>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</si>
  <si>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</si>
  <si>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</si>
  <si>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</si>
  <si>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</si>
  <si>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</si>
  <si>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</si>
  <si>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</si>
  <si>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</si>
  <si>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</si>
  <si>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</si>
  <si>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</si>
  <si>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</si>
  <si>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</si>
  <si>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</si>
  <si>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Misuse of Offensive Cyber Capabilities - Policy misuse leading to unethical decisions</t>
  </si>
  <si>
    <t>Lack of public trust/Legal and Ethical Violations/ Cyber Escalation and Diplomatic Fallout/ Strategic and Economic damage.</t>
  </si>
  <si>
    <t>Ensure parliamentry oversight/ Allignment with international laws and norms/ establishment of clear ethicak frameworks/ promoting of balanced approach between offense and defence in strategy</t>
  </si>
  <si>
    <t>Collateral Damage to Civillians- Impact of Cyber Attacks on peoples livlihood</t>
  </si>
  <si>
    <t>Disruption to Critical Infrastructure (powergrids, hospitals etc)/ Economic damage to individuals (banks,loss of income) Psychological Impact (fear, uncertainty, stress)</t>
  </si>
  <si>
    <t xml:space="preserve">Design operations with proportionality and discrimination (only targeting legitimate military or strategic assets)/ Provide transparent and compensation in cases of collateral damage </t>
  </si>
  <si>
    <t>Violation of digital rights - Breaches of privacy/ freedom of expression/ Data protection act etc</t>
  </si>
  <si>
    <t>Loss of public trust/ increaded risk of identity theft/ loss of individual autonomy- behavioural changes and self censorship</t>
  </si>
  <si>
    <t>Fines by the ICO for data misuse/mandate transparency reports/ secure, decentralised data storage solutions/ end to end encryption/ Public awareness campaigns</t>
  </si>
  <si>
    <t>Lack of transparency in decision making - Decisions made without ethical oversight</t>
  </si>
  <si>
    <t>Public suspicion grows when there is no clear explanation of rationale or accountability behind decisions, abuse of authority,violation of privacy rights, international reputational damage</t>
  </si>
  <si>
    <t>Mandatory ethical review mechanisms, strengthen transparency laws and guidelines, improvement of oversight by ensuring relevant government departments publish transparency reports, involve citizens, experts and advocacy groups in the policy design stage.</t>
  </si>
  <si>
    <t>Normalisation of Cyber Agression - ethical desensitisation to digital violence</t>
  </si>
  <si>
    <t>Ethical desensitisation, disruption of norms in politics and national security, harm to civil society, international norm breakdown.</t>
  </si>
  <si>
    <t>Establish clear ethical and legal norms, increase transparency and oversight, digital ethics and media literacy, support of watchdog organisations, protection of whistleblowers</t>
  </si>
  <si>
    <t>Bias in simulation algorithms - Ethical misjudgment due to biased modelling</t>
  </si>
  <si>
    <t>Ethical misjudgement, discrimination and inequality, misguided policy decisions, loss of accountability, false objectivity</t>
  </si>
  <si>
    <t>Bias audits, publishing details about data sources, modelling assumptions etc, human oversight, regulation and governance</t>
  </si>
  <si>
    <t>Failure to uphold ethical standards under pressure - abandoning ethical practices during conflict</t>
  </si>
  <si>
    <t>Precedent for future misconduct, loss of moral highground and reputational damage,decline in public sector morale, civillian harm and collateral damage</t>
  </si>
  <si>
    <t>Building ethical resilience into decision making, strengthen oversight mechanisms in emergencies,promote a culture of ethical integrity , international cooperation and working with allies (NATO, Five Eyes)</t>
  </si>
  <si>
    <t>Dual Use Technology abuse - Tools developed for defense being repurposed for unethical use</t>
  </si>
  <si>
    <t>Blurring of the line between defense and domestic repression, commercial exploitation, ethical decay - loss of trust in innovation and institutions, accountability gaps</t>
  </si>
  <si>
    <t>Stricter export controls and ethical vetting, corporate responsibility and regulation, education and ethical training for developers</t>
  </si>
  <si>
    <t>Non- Compliance with UK cyber laws - Breach of national cybersecurity legislation</t>
  </si>
  <si>
    <t xml:space="preserve">Increased risk of cyber attacks and data breaches, legal consequences (Computer Misuse act, DPA, NIS regulations), National Security risks, ethical and professional negligence. </t>
  </si>
  <si>
    <t>Mandatory compliance frameworks and penalties, clear governance and accountability, Collaboration with NCSC and ICO, legislative modernisation - continuing to update laws and ensuring updated real world allignment</t>
  </si>
  <si>
    <t>Violation of International humanitarian law - Offensive Strategies that break wartime laws</t>
  </si>
  <si>
    <t xml:space="preserve">Unlawful hard to civillians and civilian Infrastructure, Ambiguity in Cyberspace - lack of physical damage make violations easier to deny and harder to detect. </t>
  </si>
  <si>
    <t>Transparency, reporting and accountability, training and ethical education, parliamentary oversight and public scrutinty</t>
  </si>
  <si>
    <t>Inadequate legal justification of cyber operations - risk of acting without legal mandates</t>
  </si>
  <si>
    <t xml:space="preserve">Violation of international legal obligations, UK constitutional norms, international humanitarian law.Adversaries may miscalculate the UK's threshold for retaliation. Legal and operational blowback. </t>
  </si>
  <si>
    <t xml:space="preserve">Clarify the legal basis for cyber operations, parliamentry oversight and legal review, development of national cyber law framework or amend existing acts </t>
  </si>
  <si>
    <t>Breach of data protection regulations like GDPR - Imporper use of sharing personal data</t>
  </si>
  <si>
    <t>Violation of individual rights (GDPR), legal and financial penalties, reputational and business harms, operational and strategic risk</t>
  </si>
  <si>
    <t>Strong data governance and internal controls, Data protection officer role and training, incident reporting and response</t>
  </si>
  <si>
    <t>Insufficient policy allignment with NCSC guidelines</t>
  </si>
  <si>
    <t>Weakened cyber deterrance, vulnerability to cyber threats, implementation gaps , international reputational risk</t>
  </si>
  <si>
    <t xml:space="preserve">Mandate NCSC guidelines, establish coordinated oversight mechanisms,enhanced incident response integration. Regular audits to show the government meeting NSCS reccomendations and how they are improving </t>
  </si>
  <si>
    <t xml:space="preserve">Improper documentation for auduting and legal review - lack of traceability </t>
  </si>
  <si>
    <t>Breakdown of legal accountability, failing of auditing mecahnisms in place, operational and strategic risk,undermining public and international trust.</t>
  </si>
  <si>
    <t>Standardised documentation protocols, integration of audot into technology systems, legal review and compliance logs.</t>
  </si>
  <si>
    <t>Escalation of Cyber Conflict - Provoking hostile states or non-state actors</t>
  </si>
  <si>
    <t>Retaliation and counter attacks, destabilisation of cyber laws, empowerment of non state actors, damage to UK Diplomacy and Global Standing</t>
  </si>
  <si>
    <t>Develop clear cyber strategic restraint, transparent rules of engagement and strategic thresholds for offensive operations /retaliation and deterrance. Strengthen De-ecalation protocols</t>
  </si>
  <si>
    <t>Unintended consequences on Global Diplomacy - damaging international relations</t>
  </si>
  <si>
    <t>Breakdown of trust between alies and partners, violation of sovereignty, encourage retalliation, undermining cyber governance</t>
  </si>
  <si>
    <t xml:space="preserve">Strengthen cyber diplomacy, embed foreign policy considerations into cyber planning, devlop norms for responsible offensive cyber use, track and analyse displomatic risks </t>
  </si>
  <si>
    <t>Policy ineffectiveness - policies not performing as expected</t>
  </si>
  <si>
    <t>Failure to prevent cyber incidents, false sense of security, loss of public and international trust</t>
  </si>
  <si>
    <t>Policy evaluation and regular review, evidence based and risk informed policy making, build flexibility and scalability into policy design</t>
  </si>
  <si>
    <t>Misinterpretation of deterrance signals - Opponents misunderstanding UK intent</t>
  </si>
  <si>
    <t>Unintended retaliation, strategic ambiguity, strain on alliances leading to political divisions, diplomatic fallout</t>
  </si>
  <si>
    <t>Develop and communicate clear cyber doctrine, Strategic signalling through official channels (NCSC,MOD), introduce red team simulations.</t>
  </si>
  <si>
    <t>Overreliance on simulation data - neglecting real world complexities</t>
  </si>
  <si>
    <t>Poor Decision-Making and Policy Misfires, Exclusion of Lived Experience and Social Realities, Ethical Misjudgment, False Sense of Control and Security</t>
  </si>
  <si>
    <t>Validate Models Against Real-World Data, Incorporate Social, Ethical, and Human Variables, Promote Iterative Testing and Feedback Loops</t>
  </si>
  <si>
    <t>Lack of adaptive capacity - No flexibility to adjust to rapidly changing threat landscapes</t>
  </si>
  <si>
    <t>Increased Vulnerability to Emerging Threats, Inflexible Policy and Legal Frameworks, Delayed Response and Recovery, Innovation Stagnation</t>
  </si>
  <si>
    <t>Embed Agility in Cyber Policy Design, Develop Dynamic Threat Intelligence and Response Capabilities, invest in Workforce and Organisational Flexibility</t>
  </si>
  <si>
    <t>Inability to predict emerging threats - Frameworks becoming outdated quickly</t>
  </si>
  <si>
    <t>Misaligned Investment and Resource Allocation, Failure to Build Proactive Deterrence, Reduced Strategic Agility and Innovation</t>
  </si>
  <si>
    <t>Establish Forward-Looking Threat Forecasting Units, Regular Framework Refresh Cycles, Engage International Threat Intelligence Collaboration</t>
  </si>
  <si>
    <t>Damage to public trust in UK institutions</t>
  </si>
  <si>
    <t>Reducsed compliance, well-designed security campaigns may fail to gain traction, leaving society more vulnerable.Disinformation and conspiracy theories, protests and activism etc</t>
  </si>
  <si>
    <t xml:space="preserve">Transparency and Public Communication, Citizen Engagement and Consent, acknowledgement and full transparency when ethical violations occur </t>
  </si>
  <si>
    <t>National Infrastructure destroyed</t>
  </si>
  <si>
    <t>Loss of Essential Services, Public Safety and Civil Unrest, Economic Collapse, Loss of Military and National Security Capability</t>
  </si>
  <si>
    <t>Harden Critical National Infrastructure (CNI), Cyber Resilience Planning and Testing, Establish Rapid Incident Response Mechanisms, Deterrence and Offensive Preparedness</t>
  </si>
  <si>
    <t>Retaliation that harms UK civillians - the effects  of ehtically questionable operations</t>
  </si>
  <si>
    <t xml:space="preserve">Hospitals, transport systems targetted endangering public health, financial services attacked, schools and councils affected. NO trust in government. Physical and collateral damage to UK livlihood. </t>
  </si>
  <si>
    <t>Ethical and Legal Risk Assessment for All Cyber Operations, Civil Preparedness and Infrastructure Resilience, Diplomatic Risk Mitigation</t>
  </si>
  <si>
    <t>Damage to the UKs reputation as a law abiding nation</t>
  </si>
  <si>
    <t>Undermining diplomatic credibility, loss of soft power and influence, strained relations with allies, public and legal blowback</t>
  </si>
  <si>
    <t xml:space="preserve">Publically affirm legal commitments in cyber strategy, independent oversight and legal review, transparency and accountability mechanisms, ethics training. </t>
  </si>
  <si>
    <t>Undermining UK democratic values - Covert cyber operations that bypass parliamentary oversight</t>
  </si>
  <si>
    <t>Disruptiom of parliamentry sovereignty, Prime Minister, MOD or GCHQ may bypass legal limits without independent oversight, Supression of public debate and consent</t>
  </si>
  <si>
    <t>Strengthen parliamentary oversight, mandate legal and ethical reviews for cyber capabilities, embed democratic values in cyber workforce culture.</t>
  </si>
  <si>
    <t>Breach of UN Cyber laws and international agreements - violating principles of state behaviour in cyber space</t>
  </si>
  <si>
    <t>Undermining Global Norms and Rule of Law, Legal Consequences and Diplomatic Repercussions, Escalation of State-on-State Tensions, Loss of Moral Authority in Human Rights and Technology Governance</t>
  </si>
  <si>
    <t>Allign Cyber operations with international law, International Legal Engagement, Promote Cyber Norms Through Foreign Policy</t>
  </si>
  <si>
    <t>Legal Action against the UK in international courts - Human rights challenges or war crime allegations</t>
  </si>
  <si>
    <t>Human rights violations under international law, war crime allegations under international humanitarian law, domestic political and legal crisis.</t>
  </si>
  <si>
    <t>Ensure oversight, transparency, and accountability, acknowledgement of errors, offer public redress mechanisms or policy reforms, demonstrate institutional learning and corrective action.</t>
  </si>
  <si>
    <t>Diplomatic fallout with allies (NATO,EU, Five Eyes)</t>
  </si>
  <si>
    <t>Reduced intelligence sharing and operational cooperation, breakdown of trust in multilateral agreements, obstruction in policy allignment and decision making</t>
  </si>
  <si>
    <t>Allign UK cyber policy with NATO and EU Norms. Improve transparency and communication with allies, implement domestic reforms to restore credibility.</t>
  </si>
  <si>
    <t>Escalation to Physical Conflict - Cyber Actions interpreted as acts of war</t>
  </si>
  <si>
    <t>A hostile nation may percieve it as an armed attack/ a violation of territorial sovereignity leading to weaponised response. Breakdown of deterrance stability, civillian and infrastructure harm</t>
  </si>
  <si>
    <t>Clearly define and limit offensive cyber operations, enhance attribution clarity, allign with NATO and allied threshholds, Escalation risk analysis designed into operational planning</t>
  </si>
  <si>
    <t>Loss of Intelligence Capabilities Due to Exposure – Once offensive tools are discovered, they become obsolete.</t>
  </si>
  <si>
    <t>Rapid Obsolescence of Offensive Cyber Tools,Months or years of development and testing are invalidated overnight, Targets may harden systems or adopt new defensive postures, making future penetration much harder.</t>
  </si>
  <si>
    <t>Maintain clear authorisation protocols for when tools may be exposed through use, Maintain a pipeline of alternative techniques ready to deploy post-exposure, Rapid tool retirement and replacement workflow.</t>
  </si>
  <si>
    <t>Cyber Arms Race – Encouraging hostile states to rapidly develop counter-offensive capabilities.</t>
  </si>
  <si>
    <t>Accelerated weaponisation by adversaries, lower thresholds for use of force, global norms undermined, diversion of resources from defence and resilience</t>
  </si>
  <si>
    <t>Promote Norms and Treaties Against Cyber Weaponisation, Increase Transparency and Confidence-Building, Balance Offensive Growth with Defensive Investment</t>
  </si>
  <si>
    <t>Extreme</t>
  </si>
  <si>
    <t>Major</t>
  </si>
  <si>
    <t>Moderate</t>
  </si>
  <si>
    <t>Minor</t>
  </si>
  <si>
    <t>Insignificant</t>
  </si>
  <si>
    <t>Complete operational failure, "bet the farm" impact, unsurvivable</t>
  </si>
  <si>
    <t>Severe loss of operational capability, highly damaging and extremely costly but survivable</t>
  </si>
  <si>
    <t>Substantial operational impact, very costly</t>
  </si>
  <si>
    <t>Noticeable but limited operational impact, some costs</t>
  </si>
  <si>
    <t>Minimal if any operational impact, negligible costs</t>
  </si>
  <si>
    <t>Probability</t>
  </si>
  <si>
    <t>(Almost) certain</t>
  </si>
  <si>
    <r>
      <t xml:space="preserve">We are </t>
    </r>
    <r>
      <rPr>
        <i/>
        <sz val="11"/>
        <rFont val="Arial"/>
        <family val="2"/>
      </rPr>
      <t>bound</t>
    </r>
    <r>
      <rPr>
        <sz val="11"/>
        <rFont val="Arial"/>
        <family val="2"/>
      </rPr>
      <t xml:space="preserve"> to experience further incidents of this nature - in fact they are probably occuring right now!</t>
    </r>
  </si>
  <si>
    <t>Probable</t>
  </si>
  <si>
    <t>We are likely to experience incidents of this nature before long</t>
  </si>
  <si>
    <t>Possible</t>
  </si>
  <si>
    <t>It is distinctly possible that we will experience incidents of this nature</t>
  </si>
  <si>
    <t>Unlikely</t>
  </si>
  <si>
    <t>Incidents of this nature are uncommon but there is a genuine chance that we may experience them at some future point</t>
  </si>
  <si>
    <t>Rare</t>
  </si>
  <si>
    <t>Although they are conceivable, we will probably never experience incidents of this 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</si>
</sst>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Red]\-&quot;$&quot;#,##0"/>
  </numFmts>
  <fonts count="19">
    <font>
      <sz val="11"/>
      <name val="Arial"/>
      <family val="2"/>
    </font>
    <font>
      <sz val="8"/>
      <name val="Arial Narrow"/>
      <family val="2"/>
    </font>
    <font>
      <b/>
      <sz val="8"/>
      <color indexed="81"/>
      <name val="Tahoma"/>
    </font>
    <font>
      <b/>
      <sz val="8"/>
      <color indexed="81"/>
      <name val="Tahoma"/>
      <family val="2"/>
    </font>
    <font>
      <sz val="8"/>
      <color indexed="81"/>
      <name val="Tahoma"/>
    </font>
    <font>
      <u/>
      <sz val="8"/>
      <color indexed="12"/>
      <name val="Arial Narrow"/>
      <family val="2"/>
    </font>
    <font>
      <sz val="11"/>
      <name val="Arial"/>
      <family val="2"/>
    </font>
    <font>
      <sz val="11"/>
      <name val="Arial"/>
      <family val="2"/>
    </font>
    <font>
      <i/>
      <sz val="11"/>
      <name val="Arial"/>
      <family val="2"/>
    </font>
    <font>
      <sz val="10"/>
      <name val="Arial"/>
      <family val="2"/>
    </font>
    <font>
      <sz val="9"/>
      <name val="Arial"/>
      <family val="2"/>
    </font>
    <font>
      <sz val="14"/>
      <name val="Arial Narrow"/>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14"/>
      <color indexed="12"/>
      <name val="Arial Narrow"/>
      <family val="2"/>
    </font>
    <font>
      <b/>
      <sz val="9"/>
      <color indexed="81"/>
      <name val="Tahoma"/>
      <family val="2"/>
    </font>
    <font>
      <sz val="10"/>
      <name val="Arial"/>
    </font>
  </fonts>
  <fills count="6">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s>
  <borders count="23">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s>
  <cellStyleXfs count="3">
    <xf numFmtId="0" fontId="0" fillId="0" borderId="0" applyBorder="0">
      <alignment vertical="center" wrapText="1"/>
    </xf>
    <xf numFmtId="0" fontId="5" fillId="0" borderId="0" applyNumberFormat="0" applyFill="0" applyBorder="0" applyAlignment="0" applyProtection="0">
      <alignment vertical="top"/>
      <protection locked="0"/>
    </xf>
    <xf numFmtId="9" fontId="6" fillId="0" borderId="0" applyFont="0" applyFill="0" applyBorder="0" applyAlignment="0" applyProtection="0"/>
  </cellStyleXfs>
  <cellXfs count="66">
    <xf numFmtId="0" fontId="0" fillId="0" borderId="0" xfId="0">
      <alignment vertical="center" wrapText="1"/>
    </xf>
    <xf numFmtId="0" fontId="1" fillId="0" borderId="0" xfId="0" applyFont="1" applyBorder="1" applyAlignment="1">
      <alignment wrapText="1"/>
    </xf>
    <xf numFmtId="0" fontId="7" fillId="0" borderId="0" xfId="0" applyFont="1" applyAlignment="1">
      <alignment vertical="center"/>
    </xf>
    <xf numFmtId="0" fontId="7" fillId="0" borderId="0" xfId="0" applyFont="1">
      <alignment vertical="center" wrapText="1"/>
    </xf>
    <xf numFmtId="0" fontId="8" fillId="0" borderId="0" xfId="0" applyFont="1" applyBorder="1" applyAlignment="1">
      <alignment horizontal="right" vertical="center" wrapText="1"/>
    </xf>
    <xf numFmtId="0" fontId="8" fillId="0" borderId="0" xfId="0" applyFont="1" applyBorder="1" applyAlignment="1">
      <alignment horizontal="center" wrapText="1"/>
    </xf>
    <xf numFmtId="0" fontId="1" fillId="0" borderId="0" xfId="0" applyFont="1" applyBorder="1">
      <alignment vertical="center" wrapText="1"/>
    </xf>
    <xf numFmtId="49" fontId="0" fillId="0" borderId="0" xfId="0" applyNumberFormat="1">
      <alignment vertical="center" wrapText="1"/>
    </xf>
    <xf numFmtId="0" fontId="0" fillId="0" borderId="0" xfId="0" applyAlignment="1">
      <alignment horizontal="center" vertical="center"/>
    </xf>
    <xf numFmtId="0" fontId="9" fillId="0" borderId="3" xfId="0" applyFont="1" applyBorder="1" applyAlignment="1">
      <alignment horizontal="center" vertical="center" wrapText="1"/>
    </xf>
    <xf numFmtId="0" fontId="11" fillId="0" borderId="0" xfId="0" applyFont="1" applyBorder="1" applyAlignment="1">
      <alignment wrapText="1"/>
    </xf>
    <xf numFmtId="0" fontId="0" fillId="0" borderId="0" xfId="0" applyBorder="1" applyAlignment="1">
      <alignment horizontal="right" vertical="center" wrapText="1"/>
    </xf>
    <xf numFmtId="0" fontId="0" fillId="3" borderId="13" xfId="0" applyFill="1" applyBorder="1" applyAlignment="1">
      <alignment horizontal="center" vertical="center" wrapText="1"/>
    </xf>
    <xf numFmtId="0" fontId="0" fillId="3" borderId="1" xfId="0" applyFill="1" applyBorder="1" applyAlignment="1">
      <alignment horizontal="center" vertical="center" wrapText="1"/>
    </xf>
    <xf numFmtId="0" fontId="0" fillId="3" borderId="15" xfId="0"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6" xfId="0" applyFont="1" applyFill="1" applyBorder="1" applyAlignment="1">
      <alignment horizontal="center" vertical="center" wrapText="1"/>
    </xf>
    <xf numFmtId="0" fontId="13" fillId="3" borderId="10" xfId="0" applyFont="1" applyFill="1" applyBorder="1" applyAlignment="1">
      <alignment horizontal="center" vertical="center" wrapText="1"/>
    </xf>
    <xf numFmtId="0" fontId="0" fillId="3" borderId="6" xfId="0" applyFill="1" applyBorder="1" applyAlignment="1">
      <alignment horizontal="center" wrapText="1"/>
    </xf>
    <xf numFmtId="0" fontId="0" fillId="3" borderId="4" xfId="0" applyFill="1" applyBorder="1" applyAlignment="1">
      <alignment horizontal="center" wrapText="1"/>
    </xf>
    <xf numFmtId="0" fontId="0" fillId="3" borderId="9" xfId="0" applyFill="1" applyBorder="1" applyAlignment="1">
      <alignment horizontal="center" wrapText="1"/>
    </xf>
    <xf numFmtId="9" fontId="14" fillId="0" borderId="7" xfId="2" applyFont="1" applyBorder="1" applyAlignment="1">
      <alignment horizontal="center" vertical="center" textRotation="90" wrapText="1"/>
    </xf>
    <xf numFmtId="9" fontId="14" fillId="0" borderId="4" xfId="2" applyFont="1" applyBorder="1" applyAlignment="1">
      <alignment horizontal="center" vertical="center" textRotation="90" wrapText="1"/>
    </xf>
    <xf numFmtId="9" fontId="14" fillId="0" borderId="11" xfId="2" applyFont="1" applyBorder="1" applyAlignment="1">
      <alignment horizontal="center" vertical="center" textRotation="90" wrapText="1"/>
    </xf>
    <xf numFmtId="9" fontId="14" fillId="4" borderId="6" xfId="2" applyFont="1" applyFill="1" applyBorder="1" applyAlignment="1">
      <alignment horizontal="center" vertical="center" wrapText="1"/>
    </xf>
    <xf numFmtId="9" fontId="14" fillId="4" borderId="4" xfId="2" applyFont="1" applyFill="1" applyBorder="1" applyAlignment="1">
      <alignment horizontal="center" vertical="center" wrapText="1"/>
    </xf>
    <xf numFmtId="9" fontId="14" fillId="4" borderId="9" xfId="2" applyFont="1" applyFill="1" applyBorder="1" applyAlignment="1">
      <alignment horizontal="center" vertical="center" wrapText="1"/>
    </xf>
    <xf numFmtId="9" fontId="15" fillId="5" borderId="4" xfId="2" applyFont="1" applyFill="1" applyBorder="1" applyAlignment="1">
      <alignment horizontal="center" vertical="center" wrapText="1"/>
    </xf>
    <xf numFmtId="9" fontId="15" fillId="5" borderId="9" xfId="2" applyFont="1" applyFill="1" applyBorder="1" applyAlignment="1">
      <alignment horizontal="center" vertical="center" wrapText="1"/>
    </xf>
    <xf numFmtId="9" fontId="15" fillId="5" borderId="11" xfId="2" applyFont="1" applyFill="1" applyBorder="1" applyAlignment="1">
      <alignment horizontal="center" vertical="center" wrapText="1"/>
    </xf>
    <xf numFmtId="9" fontId="15" fillId="5" borderId="12" xfId="2" applyFont="1" applyFill="1" applyBorder="1" applyAlignment="1">
      <alignment horizontal="center" vertical="center" wrapText="1"/>
    </xf>
    <xf numFmtId="0" fontId="9" fillId="0" borderId="2" xfId="0" applyFont="1" applyBorder="1" applyAlignment="1">
      <alignment horizontal="center" vertical="center" wrapText="1"/>
    </xf>
    <xf numFmtId="9" fontId="9" fillId="0" borderId="20" xfId="2" applyFont="1" applyBorder="1" applyAlignment="1">
      <alignment horizontal="center" vertical="center"/>
    </xf>
    <xf numFmtId="9" fontId="9" fillId="0" borderId="22" xfId="2" applyFont="1" applyBorder="1" applyAlignment="1">
      <alignment horizontal="center" vertical="center"/>
    </xf>
    <xf numFmtId="0" fontId="16" fillId="3" borderId="17" xfId="1" applyFont="1" applyFill="1" applyBorder="1" applyAlignment="1" applyProtection="1">
      <alignment horizontal="center" wrapText="1"/>
    </xf>
    <xf numFmtId="0" fontId="16" fillId="3" borderId="18" xfId="1" applyFont="1" applyFill="1" applyBorder="1" applyAlignment="1" applyProtection="1">
      <alignment horizontal="center" wrapText="1"/>
    </xf>
    <xf numFmtId="0" fontId="16" fillId="2" borderId="18" xfId="1" applyFont="1" applyFill="1" applyBorder="1" applyAlignment="1" applyProtection="1">
      <alignment horizontal="center" textRotation="90" wrapText="1"/>
    </xf>
    <xf numFmtId="0" fontId="16" fillId="3" borderId="18" xfId="1" applyFont="1" applyFill="1" applyBorder="1" applyAlignment="1" applyProtection="1">
      <alignment horizontal="center" textRotation="90" wrapText="1"/>
    </xf>
    <xf numFmtId="164" fontId="9" fillId="0" borderId="20" xfId="0" applyNumberFormat="1" applyFont="1" applyBorder="1" applyAlignment="1" applyProtection="1">
      <alignment horizontal="center" vertical="center" wrapText="1"/>
      <protection locked="0"/>
    </xf>
    <xf numFmtId="49" fontId="9" fillId="0" borderId="19" xfId="0" applyNumberFormat="1" applyFont="1" applyBorder="1" applyAlignment="1" applyProtection="1">
      <alignment horizontal="center" vertical="center" wrapText="1"/>
      <protection locked="0"/>
    </xf>
    <xf numFmtId="0" fontId="9" fillId="0" borderId="20" xfId="0" applyFont="1" applyBorder="1" applyAlignment="1" applyProtection="1">
      <alignment horizontal="center" vertical="center" wrapText="1"/>
      <protection locked="0"/>
    </xf>
    <xf numFmtId="9" fontId="9" fillId="0" borderId="20" xfId="2" applyFont="1" applyBorder="1" applyAlignment="1" applyProtection="1">
      <alignment horizontal="center" vertical="center" wrapText="1"/>
      <protection locked="0"/>
    </xf>
    <xf numFmtId="49" fontId="9" fillId="0" borderId="21" xfId="0" applyNumberFormat="1" applyFont="1" applyBorder="1" applyAlignment="1" applyProtection="1">
      <alignment horizontal="center" vertical="center" wrapText="1"/>
      <protection locked="0"/>
    </xf>
    <xf numFmtId="0" fontId="9" fillId="0" borderId="22" xfId="0" applyFont="1" applyBorder="1" applyAlignment="1" applyProtection="1">
      <alignment horizontal="center" vertical="center" wrapText="1"/>
      <protection locked="0"/>
    </xf>
    <xf numFmtId="9" fontId="9" fillId="0" borderId="22" xfId="2" applyFont="1" applyBorder="1" applyAlignment="1" applyProtection="1">
      <alignment horizontal="center" vertical="center" wrapText="1"/>
      <protection locked="0"/>
    </xf>
    <xf numFmtId="0" fontId="9" fillId="0" borderId="20"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0" fillId="0" borderId="20" xfId="0" applyFont="1" applyBorder="1" applyAlignment="1" applyProtection="1">
      <alignment horizontal="center" vertical="center" wrapText="1"/>
      <protection locked="0"/>
    </xf>
    <xf numFmtId="0" fontId="18" fillId="0" borderId="20" xfId="0" applyFont="1" applyBorder="1" applyAlignment="1" applyProtection="1">
      <alignment horizontal="center" vertical="center" wrapText="1"/>
      <protection locked="0"/>
    </xf>
    <xf numFmtId="9" fontId="18" fillId="0" borderId="20" xfId="2" applyFont="1" applyBorder="1" applyAlignment="1" applyProtection="1">
      <alignment horizontal="center" vertical="center" wrapText="1"/>
      <protection locked="0"/>
    </xf>
    <xf numFmtId="9" fontId="18" fillId="0" borderId="20" xfId="2" applyFont="1" applyBorder="1" applyAlignment="1">
      <alignment horizontal="center" vertical="center"/>
    </xf>
    <xf numFmtId="164" fontId="18" fillId="0" borderId="20" xfId="0" applyNumberFormat="1" applyFont="1" applyBorder="1" applyAlignment="1" applyProtection="1">
      <alignment horizontal="center" vertical="center" wrapText="1"/>
      <protection locked="0"/>
    </xf>
    <xf numFmtId="9" fontId="18" fillId="0" borderId="20" xfId="2" applyFont="1" applyBorder="1" applyAlignment="1" applyProtection="1">
      <alignment horizontal="center" vertical="center"/>
      <protection locked="0"/>
    </xf>
    <xf numFmtId="0" fontId="18" fillId="0" borderId="20" xfId="0" applyFont="1" applyBorder="1" applyAlignment="1" applyProtection="1">
      <alignment horizontal="left" vertical="center" wrapText="1"/>
      <protection locked="0"/>
    </xf>
    <xf numFmtId="0" fontId="6" fillId="0" borderId="0" xfId="0" applyFont="1">
      <alignment vertical="center" wrapText="1"/>
    </xf>
    <xf numFmtId="0" fontId="6" fillId="0" borderId="0" xfId="0" applyFont="1" applyAlignment="1">
      <alignment vertical="center"/>
    </xf>
    <xf numFmtId="0" fontId="6" fillId="0" borderId="0" xfId="0" applyFont="1" applyBorder="1" applyAlignment="1">
      <alignment horizontal="center" vertical="center" wrapText="1"/>
    </xf>
    <xf numFmtId="0" fontId="6" fillId="0" borderId="0" xfId="0" applyFont="1" applyBorder="1" applyAlignment="1">
      <alignment vertical="center"/>
    </xf>
    <xf numFmtId="0" fontId="8" fillId="0" borderId="0" xfId="0" applyFont="1" applyBorder="1" applyAlignment="1">
      <alignment horizontal="right" vertical="center" wrapText="1"/>
    </xf>
    <xf numFmtId="0" fontId="0" fillId="0" borderId="0" xfId="0" applyBorder="1" applyAlignment="1">
      <alignment horizontal="right" vertical="center" wrapText="1"/>
    </xf>
    <xf numFmtId="0" fontId="12" fillId="0" borderId="14" xfId="0" applyFont="1" applyBorder="1" applyAlignment="1">
      <alignment vertical="center" textRotation="90" wrapText="1"/>
    </xf>
    <xf numFmtId="0" fontId="12" fillId="0" borderId="16" xfId="0" applyFont="1" applyBorder="1"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wrapText="1"/>
    </xf>
  </cellXfs>
  <cellStyles count="3">
    <cellStyle name="Hyperlink" xfId="1" builtinId="8"/>
    <cellStyle name="Normal" xfId="0" builtinId="0"/>
    <cellStyle name="Per cent" xfId="2" builtinId="5"/>
  </cellStyles>
  <dxfs count="39">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bottom style="hair">
          <color indexed="64"/>
        </bottom>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color rgb="FF9C0006"/>
      </font>
      <fill>
        <patternFill>
          <bgColor rgb="FFFFC7CE"/>
        </patternFill>
      </fill>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64"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bottom style="hair">
          <color indexed="64"/>
        </bottom>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4" displayName="Table24" ref="A1:N33" totalsRowShown="0" headerRowDxfId="35" headerRowBorderDxfId="33" tableBorderDxfId="34" totalsRowBorderDxfId="32" headerRowCellStyle="Hyperlink">
  <autoFilter ref="A1:N33" xr:uid="{00000000-0009-0000-0100-000003000000}"/>
  <sortState xmlns:xlrd2="http://schemas.microsoft.com/office/spreadsheetml/2017/richdata2" ref="A2:N26">
    <sortCondition ref="A1:A26"/>
  </sortState>
  <tableColumns count="14">
    <tableColumn id="1" xr3:uid="{00000000-0010-0000-0000-000001000000}" name="    Risk ID_x000a_" dataDxfId="31"/>
    <tableColumn id="2" xr3:uid="{00000000-0010-0000-0000-000002000000}" name="Risk" dataDxfId="30"/>
    <tableColumn id="4" xr3:uid="{00000000-0010-0000-0000-000004000000}" name="Impact" dataDxfId="29"/>
    <tableColumn id="5" xr3:uid="{00000000-0010-0000-0000-000005000000}" name="    Raw probability" dataDxfId="28"/>
    <tableColumn id="6" xr3:uid="{00000000-0010-0000-0000-000006000000}" name="    Raw impact" dataDxfId="27"/>
    <tableColumn id="7" xr3:uid="{00000000-0010-0000-0000-000007000000}" name="    Raw risk rating" dataDxfId="26">
      <calculatedColumnFormula>D2*E2</calculatedColumnFormula>
    </tableColumn>
    <tableColumn id="8" xr3:uid="{00000000-0010-0000-0000-000008000000}" name="Treatment" dataDxfId="25"/>
    <tableColumn id="9" xr3:uid="{00000000-0010-0000-0000-000009000000}" name="    Treatment cost" dataDxfId="24"/>
    <tableColumn id="10" xr3:uid="{00000000-0010-0000-0000-00000A000000}" name="    Treatment status" dataDxfId="23"/>
    <tableColumn id="11" xr3:uid="{00000000-0010-0000-0000-00000B000000}" name="    Treated probability" dataDxfId="22">
      <calculatedColumnFormula>Table24[[#This Row],[    Raw probability]]</calculatedColumnFormula>
    </tableColumn>
    <tableColumn id="12" xr3:uid="{00000000-0010-0000-0000-00000C000000}" name="    Treated impact" dataDxfId="21">
      <calculatedColumnFormula>Table24[[#This Row],[    Raw impact]]</calculatedColumnFormula>
    </tableColumn>
    <tableColumn id="13" xr3:uid="{00000000-0010-0000-0000-00000D000000}" name="    Target risk rating" dataDxfId="20">
      <calculatedColumnFormula>J2*K2</calculatedColumnFormula>
    </tableColumn>
    <tableColumn id="17" xr3:uid="{00000000-0010-0000-0000-000011000000}" name="    Current risk rating" dataDxfId="19">
      <calculatedColumnFormula>Table24[[#This Row],[    Raw risk rating]]-(Table24[[#This Row],[    Treatment status]]*(Table24[[#This Row],[    Raw risk rating]]-Table24[[#This Row],[    Target risk rating]]))</calculatedColumnFormula>
    </tableColumn>
    <tableColumn id="15" xr3:uid="{00000000-0010-0000-0000-00000F000000}" name="Notes" dataDxfId="18"/>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BBF9B61-B120-4A2D-804A-3B10CC52A3FA}" name="Table242" displayName="Table242" ref="A1:K33" totalsRowShown="0" headerRowDxfId="14" headerRowBorderDxfId="12" tableBorderDxfId="13" totalsRowBorderDxfId="11" headerRowCellStyle="Hyperlink">
  <autoFilter ref="A1:K33" xr:uid="{0BBF9B61-B120-4A2D-804A-3B10CC52A3FA}"/>
  <sortState xmlns:xlrd2="http://schemas.microsoft.com/office/spreadsheetml/2017/richdata2" ref="A2:K26">
    <sortCondition ref="A1:A26"/>
  </sortState>
  <tableColumns count="11">
    <tableColumn id="1" xr3:uid="{ACBDF58F-1D78-45B7-BEF6-FCE97A8AEBEE}" name="    Risk ID_x000a_" dataDxfId="10"/>
    <tableColumn id="2" xr3:uid="{CEECC5E0-07E4-471C-BD0E-0FD7EC2B14B1}" name="Risk" dataDxfId="9"/>
    <tableColumn id="4" xr3:uid="{B4EB3A3D-E45A-48BE-B697-45C7E477E883}" name="Impact" dataDxfId="8"/>
    <tableColumn id="5" xr3:uid="{355AE706-B0FE-42E0-B57A-740D04D9D4CA}" name="    Raw probability" dataDxfId="7"/>
    <tableColumn id="6" xr3:uid="{3DC19078-4095-4167-82FE-83CA163C75CD}" name="    Raw impact" dataDxfId="6"/>
    <tableColumn id="7" xr3:uid="{5D03A441-0B92-407F-A723-6485E342DCDC}" name="    Raw risk rating" dataDxfId="5">
      <calculatedColumnFormula>D2*E2</calculatedColumnFormula>
    </tableColumn>
    <tableColumn id="8" xr3:uid="{88D459C6-0D6B-4CEE-95D8-5B1FEFAD9519}" name="Treatment" dataDxfId="4"/>
    <tableColumn id="11" xr3:uid="{2CF931DE-2E83-4360-AD4B-0D0E208D6712}" name="    Treated probability" dataDxfId="3">
      <calculatedColumnFormula>Table24[[#This Row],[    Raw probability]]</calculatedColumnFormula>
    </tableColumn>
    <tableColumn id="12" xr3:uid="{07B6A484-AC6F-48E8-B845-7526AA7BFE83}" name="    Treated impact" dataDxfId="2">
      <calculatedColumnFormula>Table24[[#This Row],[    Raw impact]]</calculatedColumnFormula>
    </tableColumn>
    <tableColumn id="13" xr3:uid="{22CD43D5-E81F-4365-AAF8-2D55F0E8AA38}" name="    Target risk rating" dataDxfId="1">
      <calculatedColumnFormula>H2*I2</calculatedColumnFormula>
    </tableColumn>
    <tableColumn id="15" xr3:uid="{C8E3E692-B8F9-422F-A44D-A2A52A938A46}" name="Note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Q34"/>
  <sheetViews>
    <sheetView zoomScaleNormal="100" workbookViewId="0">
      <selection activeCell="C2" sqref="C2"/>
    </sheetView>
  </sheetViews>
  <sheetFormatPr defaultRowHeight="13.9"/>
  <cols>
    <col min="1" max="1" width="5.375" style="7" customWidth="1"/>
    <col min="2" max="2" width="24.125" customWidth="1"/>
    <col min="3" max="3" width="27.25" customWidth="1"/>
    <col min="4" max="4" width="5.125" customWidth="1"/>
    <col min="5" max="5" width="5" customWidth="1"/>
    <col min="6" max="6" width="4.875" style="8" customWidth="1"/>
    <col min="7" max="7" width="25.25" customWidth="1"/>
    <col min="8" max="8" width="7.75" hidden="1" customWidth="1"/>
    <col min="9" max="9" width="5.125" hidden="1" customWidth="1"/>
    <col min="10" max="12" width="5.125" customWidth="1"/>
    <col min="13" max="13" width="5.125" style="8" customWidth="1"/>
    <col min="14" max="14" width="75.625" customWidth="1"/>
    <col min="15" max="15" width="10.375" customWidth="1"/>
    <col min="16" max="16" width="0" hidden="1" customWidth="1"/>
  </cols>
  <sheetData>
    <row r="1" spans="1:225" s="10" customFormat="1" ht="131.25" customHeight="1">
      <c r="A1" s="36" t="s">
        <v>0</v>
      </c>
      <c r="B1" s="37" t="s">
        <v>1</v>
      </c>
      <c r="C1" s="37" t="s">
        <v>2</v>
      </c>
      <c r="D1" s="38" t="s">
        <v>3</v>
      </c>
      <c r="E1" s="38" t="s">
        <v>4</v>
      </c>
      <c r="F1" s="38" t="s">
        <v>5</v>
      </c>
      <c r="G1" s="37" t="s">
        <v>6</v>
      </c>
      <c r="H1" s="39" t="s">
        <v>7</v>
      </c>
      <c r="I1" s="39" t="s">
        <v>8</v>
      </c>
      <c r="J1" s="38" t="s">
        <v>9</v>
      </c>
      <c r="K1" s="38" t="s">
        <v>10</v>
      </c>
      <c r="L1" s="38" t="s">
        <v>11</v>
      </c>
      <c r="M1" s="38" t="s">
        <v>12</v>
      </c>
      <c r="N1" s="37" t="s">
        <v>13</v>
      </c>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row>
    <row r="2" spans="1:225" s="9" customFormat="1" ht="47.25" customHeight="1">
      <c r="A2" s="41" t="s">
        <v>14</v>
      </c>
      <c r="B2" s="42"/>
      <c r="C2" s="49"/>
      <c r="D2" s="43"/>
      <c r="E2" s="43"/>
      <c r="F2" s="34">
        <f>D2*E2</f>
        <v>0</v>
      </c>
      <c r="G2" s="49"/>
      <c r="H2" s="40"/>
      <c r="I2" s="43"/>
      <c r="J2" s="43"/>
      <c r="K2" s="43"/>
      <c r="L2" s="34">
        <f t="shared" ref="L2:L26" si="0">J2*K2</f>
        <v>0</v>
      </c>
      <c r="M2" s="43">
        <f>Table24[[#This Row],[    Raw risk rating]]-(Table24[[#This Row],[    Treatment status]]*(Table24[[#This Row],[    Raw risk rating]]-Table24[[#This Row],[    Target risk rating]]))</f>
        <v>0</v>
      </c>
      <c r="N2" s="47"/>
      <c r="O2" s="33"/>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row>
    <row r="3" spans="1:225" s="9" customFormat="1" ht="47.25" customHeight="1">
      <c r="A3" s="41" t="s">
        <v>15</v>
      </c>
      <c r="B3" s="42"/>
      <c r="C3" s="49"/>
      <c r="D3" s="43"/>
      <c r="E3" s="43"/>
      <c r="F3" s="34">
        <f t="shared" ref="F3:F26" si="1">D3*E3</f>
        <v>0</v>
      </c>
      <c r="G3" s="49"/>
      <c r="H3" s="40"/>
      <c r="I3" s="43"/>
      <c r="J3" s="43">
        <f>Table24[[#This Row],[    Raw probability]]</f>
        <v>0</v>
      </c>
      <c r="K3" s="43">
        <f>Table24[[#This Row],[    Raw impact]]</f>
        <v>0</v>
      </c>
      <c r="L3" s="34">
        <f t="shared" si="0"/>
        <v>0</v>
      </c>
      <c r="M3" s="43">
        <f>Table24[[#This Row],[    Raw risk rating]]-(Table24[[#This Row],[    Treatment status]]*(Table24[[#This Row],[    Raw risk rating]]-Table24[[#This Row],[    Target risk rating]]))</f>
        <v>0</v>
      </c>
      <c r="N3" s="47"/>
      <c r="O3" s="33"/>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row>
    <row r="4" spans="1:225" s="9" customFormat="1" ht="47.25" customHeight="1">
      <c r="A4" s="41" t="s">
        <v>16</v>
      </c>
      <c r="B4" s="42"/>
      <c r="C4" s="49"/>
      <c r="D4" s="43"/>
      <c r="E4" s="43"/>
      <c r="F4" s="34">
        <f t="shared" si="1"/>
        <v>0</v>
      </c>
      <c r="G4" s="49"/>
      <c r="H4" s="40"/>
      <c r="I4" s="43"/>
      <c r="J4" s="43">
        <f>Table24[[#This Row],[    Raw probability]]</f>
        <v>0</v>
      </c>
      <c r="K4" s="43">
        <f>Table24[[#This Row],[    Raw impact]]</f>
        <v>0</v>
      </c>
      <c r="L4" s="34">
        <f t="shared" si="0"/>
        <v>0</v>
      </c>
      <c r="M4" s="43">
        <f>Table24[[#This Row],[    Raw risk rating]]-(Table24[[#This Row],[    Treatment status]]*(Table24[[#This Row],[    Raw risk rating]]-Table24[[#This Row],[    Target risk rating]]))</f>
        <v>0</v>
      </c>
      <c r="N4" s="47"/>
      <c r="O4" s="33"/>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row>
    <row r="5" spans="1:225" s="9" customFormat="1" ht="47.25" customHeight="1">
      <c r="A5" s="41" t="s">
        <v>17</v>
      </c>
      <c r="B5" s="42"/>
      <c r="C5" s="49"/>
      <c r="D5" s="43"/>
      <c r="E5" s="43"/>
      <c r="F5" s="34">
        <f t="shared" si="1"/>
        <v>0</v>
      </c>
      <c r="G5" s="49"/>
      <c r="H5" s="40"/>
      <c r="I5" s="43"/>
      <c r="J5" s="43">
        <f>Table24[[#This Row],[    Raw probability]]</f>
        <v>0</v>
      </c>
      <c r="K5" s="43">
        <f>Table24[[#This Row],[    Raw impact]]</f>
        <v>0</v>
      </c>
      <c r="L5" s="34">
        <f t="shared" si="0"/>
        <v>0</v>
      </c>
      <c r="M5" s="43">
        <f>Table24[[#This Row],[    Raw risk rating]]-(Table24[[#This Row],[    Treatment status]]*(Table24[[#This Row],[    Raw risk rating]]-Table24[[#This Row],[    Target risk rating]]))</f>
        <v>0</v>
      </c>
      <c r="N5" s="47"/>
      <c r="O5" s="33"/>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row>
    <row r="6" spans="1:225" s="9" customFormat="1" ht="47.25" customHeight="1">
      <c r="A6" s="41" t="s">
        <v>18</v>
      </c>
      <c r="B6" s="42"/>
      <c r="C6" s="49"/>
      <c r="D6" s="43"/>
      <c r="E6" s="43"/>
      <c r="F6" s="34">
        <f t="shared" si="1"/>
        <v>0</v>
      </c>
      <c r="G6" s="49"/>
      <c r="H6" s="40"/>
      <c r="I6" s="43"/>
      <c r="J6" s="43">
        <f>Table24[[#This Row],[    Raw probability]]</f>
        <v>0</v>
      </c>
      <c r="K6" s="43">
        <f>Table24[[#This Row],[    Raw impact]]</f>
        <v>0</v>
      </c>
      <c r="L6" s="34">
        <f t="shared" si="0"/>
        <v>0</v>
      </c>
      <c r="M6" s="43">
        <f>Table24[[#This Row],[    Raw risk rating]]-(Table24[[#This Row],[    Treatment status]]*(Table24[[#This Row],[    Raw risk rating]]-Table24[[#This Row],[    Target risk rating]]))</f>
        <v>0</v>
      </c>
      <c r="N6" s="47"/>
      <c r="O6" s="33"/>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row>
    <row r="7" spans="1:225" s="9" customFormat="1" ht="47.25" customHeight="1">
      <c r="A7" s="41" t="s">
        <v>19</v>
      </c>
      <c r="B7" s="42"/>
      <c r="C7" s="49"/>
      <c r="D7" s="43"/>
      <c r="E7" s="43"/>
      <c r="F7" s="34">
        <f t="shared" si="1"/>
        <v>0</v>
      </c>
      <c r="G7" s="49"/>
      <c r="H7" s="40"/>
      <c r="I7" s="43"/>
      <c r="J7" s="43">
        <f>Table24[[#This Row],[    Raw probability]]</f>
        <v>0</v>
      </c>
      <c r="K7" s="43">
        <f>Table24[[#This Row],[    Raw impact]]</f>
        <v>0</v>
      </c>
      <c r="L7" s="34">
        <f t="shared" si="0"/>
        <v>0</v>
      </c>
      <c r="M7" s="43">
        <f>Table24[[#This Row],[    Raw risk rating]]-(Table24[[#This Row],[    Treatment status]]*(Table24[[#This Row],[    Raw risk rating]]-Table24[[#This Row],[    Target risk rating]]))</f>
        <v>0</v>
      </c>
      <c r="N7" s="47"/>
      <c r="O7" s="33"/>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6"/>
      <c r="ER7" s="6"/>
      <c r="ES7" s="6"/>
      <c r="ET7" s="6"/>
      <c r="EU7" s="6"/>
      <c r="EV7" s="6"/>
      <c r="EW7" s="6"/>
      <c r="EX7" s="6"/>
      <c r="EY7" s="6"/>
      <c r="EZ7" s="6"/>
      <c r="FA7" s="6"/>
      <c r="FB7" s="6"/>
      <c r="FC7" s="6"/>
      <c r="FD7" s="6"/>
      <c r="FE7" s="6"/>
      <c r="FF7" s="6"/>
      <c r="FG7" s="6"/>
      <c r="FH7" s="6"/>
      <c r="FI7" s="6"/>
      <c r="FJ7" s="6"/>
      <c r="FK7" s="6"/>
      <c r="FL7" s="6"/>
      <c r="FM7" s="6"/>
      <c r="FN7" s="6"/>
      <c r="FO7" s="6"/>
      <c r="FP7" s="6"/>
      <c r="FQ7" s="6"/>
      <c r="FR7" s="6"/>
      <c r="FS7" s="6"/>
      <c r="FT7" s="6"/>
      <c r="FU7" s="6"/>
      <c r="FV7" s="6"/>
      <c r="FW7" s="6"/>
      <c r="FX7" s="6"/>
      <c r="FY7" s="6"/>
      <c r="FZ7" s="6"/>
      <c r="GA7" s="6"/>
      <c r="GB7" s="6"/>
      <c r="GC7" s="6"/>
      <c r="GD7" s="6"/>
      <c r="GE7" s="6"/>
      <c r="GF7" s="6"/>
      <c r="GG7" s="6"/>
      <c r="GH7" s="6"/>
      <c r="GI7" s="6"/>
      <c r="GJ7" s="6"/>
      <c r="GK7" s="6"/>
      <c r="GL7" s="6"/>
      <c r="GM7" s="6"/>
      <c r="GN7" s="6"/>
      <c r="GO7" s="6"/>
      <c r="GP7" s="6"/>
      <c r="GQ7" s="6"/>
      <c r="GR7" s="6"/>
      <c r="GS7" s="6"/>
      <c r="GT7" s="6"/>
      <c r="GU7" s="6"/>
      <c r="GV7" s="6"/>
      <c r="GW7" s="6"/>
      <c r="GX7" s="6"/>
      <c r="GY7" s="6"/>
      <c r="GZ7" s="6"/>
      <c r="HA7" s="6"/>
      <c r="HB7" s="6"/>
      <c r="HC7" s="6"/>
      <c r="HD7" s="6"/>
      <c r="HE7" s="6"/>
      <c r="HF7" s="6"/>
      <c r="HG7" s="6"/>
      <c r="HH7" s="6"/>
      <c r="HI7" s="6"/>
      <c r="HJ7" s="6"/>
      <c r="HK7" s="6"/>
      <c r="HL7" s="6"/>
      <c r="HM7" s="6"/>
      <c r="HN7" s="6"/>
      <c r="HO7" s="6"/>
      <c r="HP7" s="6"/>
      <c r="HQ7" s="6"/>
    </row>
    <row r="8" spans="1:225" s="9" customFormat="1" ht="47.25" customHeight="1">
      <c r="A8" s="41" t="s">
        <v>20</v>
      </c>
      <c r="B8" s="42"/>
      <c r="C8" s="49"/>
      <c r="D8" s="43"/>
      <c r="E8" s="43"/>
      <c r="F8" s="34">
        <f t="shared" si="1"/>
        <v>0</v>
      </c>
      <c r="G8" s="49"/>
      <c r="H8" s="40"/>
      <c r="I8" s="43"/>
      <c r="J8" s="43">
        <f>Table24[[#This Row],[    Raw probability]]</f>
        <v>0</v>
      </c>
      <c r="K8" s="43">
        <f>Table24[[#This Row],[    Raw impact]]</f>
        <v>0</v>
      </c>
      <c r="L8" s="34">
        <f t="shared" si="0"/>
        <v>0</v>
      </c>
      <c r="M8" s="43">
        <f>Table24[[#This Row],[    Raw risk rating]]-(Table24[[#This Row],[    Treatment status]]*(Table24[[#This Row],[    Raw risk rating]]-Table24[[#This Row],[    Target risk rating]]))</f>
        <v>0</v>
      </c>
      <c r="N8" s="47"/>
      <c r="O8" s="33"/>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N8" s="6"/>
      <c r="HO8" s="6"/>
      <c r="HP8" s="6"/>
      <c r="HQ8" s="6"/>
    </row>
    <row r="9" spans="1:225" s="9" customFormat="1" ht="47.25" customHeight="1">
      <c r="A9" s="41" t="s">
        <v>21</v>
      </c>
      <c r="B9" s="42"/>
      <c r="C9" s="49"/>
      <c r="D9" s="43"/>
      <c r="E9" s="43"/>
      <c r="F9" s="34">
        <f t="shared" si="1"/>
        <v>0</v>
      </c>
      <c r="G9" s="49"/>
      <c r="H9" s="40"/>
      <c r="I9" s="43"/>
      <c r="J9" s="43">
        <f>Table24[[#This Row],[    Raw probability]]</f>
        <v>0</v>
      </c>
      <c r="K9" s="43">
        <f>Table24[[#This Row],[    Raw impact]]</f>
        <v>0</v>
      </c>
      <c r="L9" s="34">
        <f t="shared" si="0"/>
        <v>0</v>
      </c>
      <c r="M9" s="43">
        <f>Table24[[#This Row],[    Raw risk rating]]-(Table24[[#This Row],[    Treatment status]]*(Table24[[#This Row],[    Raw risk rating]]-Table24[[#This Row],[    Target risk rating]]))</f>
        <v>0</v>
      </c>
      <c r="N9" s="47"/>
      <c r="O9" s="33"/>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C9" s="6"/>
      <c r="HD9" s="6"/>
      <c r="HE9" s="6"/>
      <c r="HF9" s="6"/>
      <c r="HG9" s="6"/>
      <c r="HH9" s="6"/>
      <c r="HI9" s="6"/>
      <c r="HJ9" s="6"/>
      <c r="HK9" s="6"/>
      <c r="HL9" s="6"/>
      <c r="HM9" s="6"/>
      <c r="HN9" s="6"/>
      <c r="HO9" s="6"/>
      <c r="HP9" s="6"/>
      <c r="HQ9" s="6"/>
    </row>
    <row r="10" spans="1:225" s="9" customFormat="1" ht="47.25" customHeight="1">
      <c r="A10" s="41" t="s">
        <v>22</v>
      </c>
      <c r="B10" s="42"/>
      <c r="C10" s="49"/>
      <c r="D10" s="43"/>
      <c r="E10" s="43"/>
      <c r="F10" s="34">
        <f t="shared" si="1"/>
        <v>0</v>
      </c>
      <c r="G10" s="49"/>
      <c r="H10" s="40"/>
      <c r="I10" s="43"/>
      <c r="J10" s="43">
        <f>Table24[[#This Row],[    Raw probability]]</f>
        <v>0</v>
      </c>
      <c r="K10" s="43">
        <f>Table24[[#This Row],[    Raw impact]]</f>
        <v>0</v>
      </c>
      <c r="L10" s="34">
        <f t="shared" si="0"/>
        <v>0</v>
      </c>
      <c r="M10" s="43">
        <f>Table24[[#This Row],[    Raw risk rating]]-(Table24[[#This Row],[    Treatment status]]*(Table24[[#This Row],[    Raw risk rating]]-Table24[[#This Row],[    Target risk rating]]))</f>
        <v>0</v>
      </c>
      <c r="N10" s="47"/>
      <c r="O10" s="33"/>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c r="GT10" s="6"/>
      <c r="GU10" s="6"/>
      <c r="GV10" s="6"/>
      <c r="GW10" s="6"/>
      <c r="GX10" s="6"/>
      <c r="GY10" s="6"/>
      <c r="GZ10" s="6"/>
      <c r="HA10" s="6"/>
      <c r="HB10" s="6"/>
      <c r="HC10" s="6"/>
      <c r="HD10" s="6"/>
      <c r="HE10" s="6"/>
      <c r="HF10" s="6"/>
      <c r="HG10" s="6"/>
      <c r="HH10" s="6"/>
      <c r="HI10" s="6"/>
      <c r="HJ10" s="6"/>
      <c r="HK10" s="6"/>
      <c r="HL10" s="6"/>
      <c r="HM10" s="6"/>
      <c r="HN10" s="6"/>
      <c r="HO10" s="6"/>
      <c r="HP10" s="6"/>
      <c r="HQ10" s="6"/>
    </row>
    <row r="11" spans="1:225" s="9" customFormat="1" ht="32.25" customHeight="1">
      <c r="A11" s="41" t="s">
        <v>23</v>
      </c>
      <c r="B11" s="42"/>
      <c r="C11" s="42"/>
      <c r="D11" s="43"/>
      <c r="E11" s="43"/>
      <c r="F11" s="34">
        <f t="shared" si="1"/>
        <v>0</v>
      </c>
      <c r="G11" s="42"/>
      <c r="H11" s="40"/>
      <c r="I11" s="43"/>
      <c r="J11" s="43">
        <f>Table24[[#This Row],[    Raw probability]]</f>
        <v>0</v>
      </c>
      <c r="K11" s="43">
        <f>Table24[[#This Row],[    Raw impact]]</f>
        <v>0</v>
      </c>
      <c r="L11" s="34">
        <f t="shared" si="0"/>
        <v>0</v>
      </c>
      <c r="M11" s="43">
        <f>Table24[[#This Row],[    Raw risk rating]]-(Table24[[#This Row],[    Treatment status]]*(Table24[[#This Row],[    Raw risk rating]]-Table24[[#This Row],[    Target risk rating]]))</f>
        <v>0</v>
      </c>
      <c r="N11" s="47"/>
      <c r="O11" s="33"/>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6"/>
      <c r="EA11" s="6"/>
      <c r="EB11" s="6"/>
      <c r="EC11" s="6"/>
      <c r="ED11" s="6"/>
      <c r="EE11" s="6"/>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6"/>
      <c r="GJ11" s="6"/>
      <c r="GK11" s="6"/>
      <c r="GL11" s="6"/>
      <c r="GM11" s="6"/>
      <c r="GN11" s="6"/>
      <c r="GO11" s="6"/>
      <c r="GP11" s="6"/>
      <c r="GQ11" s="6"/>
      <c r="GR11" s="6"/>
      <c r="GS11" s="6"/>
      <c r="GT11" s="6"/>
      <c r="GU11" s="6"/>
      <c r="GV11" s="6"/>
      <c r="GW11" s="6"/>
      <c r="GX11" s="6"/>
      <c r="GY11" s="6"/>
      <c r="GZ11" s="6"/>
      <c r="HA11" s="6"/>
      <c r="HB11" s="6"/>
      <c r="HC11" s="6"/>
      <c r="HD11" s="6"/>
      <c r="HE11" s="6"/>
      <c r="HF11" s="6"/>
      <c r="HG11" s="6"/>
      <c r="HH11" s="6"/>
      <c r="HI11" s="6"/>
      <c r="HJ11" s="6"/>
      <c r="HK11" s="6"/>
      <c r="HL11" s="6"/>
      <c r="HM11" s="6"/>
      <c r="HN11" s="6"/>
      <c r="HO11" s="6"/>
      <c r="HP11" s="6"/>
      <c r="HQ11" s="6"/>
    </row>
    <row r="12" spans="1:225" s="9" customFormat="1" ht="32.25" customHeight="1">
      <c r="A12" s="41" t="s">
        <v>24</v>
      </c>
      <c r="B12" s="42"/>
      <c r="C12" s="42"/>
      <c r="D12" s="43"/>
      <c r="E12" s="43"/>
      <c r="F12" s="34">
        <f t="shared" si="1"/>
        <v>0</v>
      </c>
      <c r="G12" s="42"/>
      <c r="H12" s="40"/>
      <c r="I12" s="43"/>
      <c r="J12" s="43">
        <f>Table24[[#This Row],[    Raw probability]]</f>
        <v>0</v>
      </c>
      <c r="K12" s="43">
        <f>Table24[[#This Row],[    Raw impact]]</f>
        <v>0</v>
      </c>
      <c r="L12" s="34">
        <f t="shared" si="0"/>
        <v>0</v>
      </c>
      <c r="M12" s="43">
        <f>Table24[[#This Row],[    Raw risk rating]]-(Table24[[#This Row],[    Treatment status]]*(Table24[[#This Row],[    Raw risk rating]]-Table24[[#This Row],[    Target risk rating]]))</f>
        <v>0</v>
      </c>
      <c r="N12" s="47"/>
      <c r="O12" s="33"/>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c r="GT12" s="6"/>
      <c r="GU12" s="6"/>
      <c r="GV12" s="6"/>
      <c r="GW12" s="6"/>
      <c r="GX12" s="6"/>
      <c r="GY12" s="6"/>
      <c r="GZ12" s="6"/>
      <c r="HA12" s="6"/>
      <c r="HB12" s="6"/>
      <c r="HC12" s="6"/>
      <c r="HD12" s="6"/>
      <c r="HE12" s="6"/>
      <c r="HF12" s="6"/>
      <c r="HG12" s="6"/>
      <c r="HH12" s="6"/>
      <c r="HI12" s="6"/>
      <c r="HJ12" s="6"/>
      <c r="HK12" s="6"/>
      <c r="HL12" s="6"/>
      <c r="HM12" s="6"/>
      <c r="HN12" s="6"/>
      <c r="HO12" s="6"/>
      <c r="HP12" s="6"/>
      <c r="HQ12" s="6"/>
    </row>
    <row r="13" spans="1:225" s="9" customFormat="1" ht="32.25" customHeight="1">
      <c r="A13" s="41" t="s">
        <v>25</v>
      </c>
      <c r="B13" s="42"/>
      <c r="C13" s="42"/>
      <c r="D13" s="43"/>
      <c r="E13" s="43"/>
      <c r="F13" s="34">
        <f t="shared" si="1"/>
        <v>0</v>
      </c>
      <c r="G13" s="42"/>
      <c r="H13" s="40"/>
      <c r="I13" s="43"/>
      <c r="J13" s="43">
        <f>Table24[[#This Row],[    Raw probability]]</f>
        <v>0</v>
      </c>
      <c r="K13" s="43">
        <f>Table24[[#This Row],[    Raw impact]]</f>
        <v>0</v>
      </c>
      <c r="L13" s="34">
        <f t="shared" si="0"/>
        <v>0</v>
      </c>
      <c r="M13" s="43">
        <f>Table24[[#This Row],[    Raw risk rating]]-(Table24[[#This Row],[    Treatment status]]*(Table24[[#This Row],[    Raw risk rating]]-Table24[[#This Row],[    Target risk rating]]))</f>
        <v>0</v>
      </c>
      <c r="N13" s="47"/>
      <c r="O13" s="33"/>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6"/>
      <c r="FB13" s="6"/>
      <c r="FC13" s="6"/>
      <c r="FD13" s="6"/>
      <c r="FE13" s="6"/>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6"/>
      <c r="GJ13" s="6"/>
      <c r="GK13" s="6"/>
      <c r="GL13" s="6"/>
      <c r="GM13" s="6"/>
      <c r="GN13" s="6"/>
      <c r="GO13" s="6"/>
      <c r="GP13" s="6"/>
      <c r="GQ13" s="6"/>
      <c r="GR13" s="6"/>
      <c r="GS13" s="6"/>
      <c r="GT13" s="6"/>
      <c r="GU13" s="6"/>
      <c r="GV13" s="6"/>
      <c r="GW13" s="6"/>
      <c r="GX13" s="6"/>
      <c r="GY13" s="6"/>
      <c r="GZ13" s="6"/>
      <c r="HA13" s="6"/>
      <c r="HB13" s="6"/>
      <c r="HC13" s="6"/>
      <c r="HD13" s="6"/>
      <c r="HE13" s="6"/>
      <c r="HF13" s="6"/>
      <c r="HG13" s="6"/>
      <c r="HH13" s="6"/>
      <c r="HI13" s="6"/>
      <c r="HJ13" s="6"/>
      <c r="HK13" s="6"/>
      <c r="HL13" s="6"/>
      <c r="HM13" s="6"/>
      <c r="HN13" s="6"/>
      <c r="HO13" s="6"/>
      <c r="HP13" s="6"/>
      <c r="HQ13" s="6"/>
    </row>
    <row r="14" spans="1:225" s="9" customFormat="1" ht="32.25" customHeight="1">
      <c r="A14" s="41" t="s">
        <v>26</v>
      </c>
      <c r="B14" s="42"/>
      <c r="C14" s="42"/>
      <c r="D14" s="43"/>
      <c r="E14" s="43"/>
      <c r="F14" s="34">
        <f t="shared" si="1"/>
        <v>0</v>
      </c>
      <c r="G14" s="42"/>
      <c r="H14" s="40"/>
      <c r="I14" s="43"/>
      <c r="J14" s="43">
        <f>Table24[[#This Row],[    Raw probability]]</f>
        <v>0</v>
      </c>
      <c r="K14" s="43">
        <f>Table24[[#This Row],[    Raw impact]]</f>
        <v>0</v>
      </c>
      <c r="L14" s="34">
        <f t="shared" si="0"/>
        <v>0</v>
      </c>
      <c r="M14" s="43">
        <f>Table24[[#This Row],[    Raw risk rating]]-(Table24[[#This Row],[    Treatment status]]*(Table24[[#This Row],[    Raw risk rating]]-Table24[[#This Row],[    Target risk rating]]))</f>
        <v>0</v>
      </c>
      <c r="N14" s="47"/>
      <c r="O14" s="33"/>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row>
    <row r="15" spans="1:225" s="9" customFormat="1" ht="32.25" customHeight="1">
      <c r="A15" s="41" t="s">
        <v>27</v>
      </c>
      <c r="B15" s="42"/>
      <c r="C15" s="42"/>
      <c r="D15" s="43"/>
      <c r="E15" s="43"/>
      <c r="F15" s="34">
        <f t="shared" si="1"/>
        <v>0</v>
      </c>
      <c r="G15" s="42"/>
      <c r="H15" s="40"/>
      <c r="I15" s="43"/>
      <c r="J15" s="43">
        <f>Table24[[#This Row],[    Raw probability]]</f>
        <v>0</v>
      </c>
      <c r="K15" s="43">
        <f>Table24[[#This Row],[    Raw impact]]</f>
        <v>0</v>
      </c>
      <c r="L15" s="34">
        <f t="shared" si="0"/>
        <v>0</v>
      </c>
      <c r="M15" s="43">
        <f>Table24[[#This Row],[    Raw risk rating]]-(Table24[[#This Row],[    Treatment status]]*(Table24[[#This Row],[    Raw risk rating]]-Table24[[#This Row],[    Target risk rating]]))</f>
        <v>0</v>
      </c>
      <c r="N15" s="47"/>
      <c r="O15" s="33"/>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row>
    <row r="16" spans="1:225" s="9" customFormat="1" ht="32.25" customHeight="1">
      <c r="A16" s="41" t="s">
        <v>28</v>
      </c>
      <c r="B16" s="42"/>
      <c r="C16" s="42"/>
      <c r="D16" s="43"/>
      <c r="E16" s="43"/>
      <c r="F16" s="34">
        <f t="shared" si="1"/>
        <v>0</v>
      </c>
      <c r="G16" s="42"/>
      <c r="H16" s="40"/>
      <c r="I16" s="43"/>
      <c r="J16" s="43">
        <f>Table24[[#This Row],[    Raw probability]]</f>
        <v>0</v>
      </c>
      <c r="K16" s="43">
        <f>Table24[[#This Row],[    Raw impact]]</f>
        <v>0</v>
      </c>
      <c r="L16" s="34">
        <f t="shared" si="0"/>
        <v>0</v>
      </c>
      <c r="M16" s="43">
        <f>Table24[[#This Row],[    Raw risk rating]]-(Table24[[#This Row],[    Treatment status]]*(Table24[[#This Row],[    Raw risk rating]]-Table24[[#This Row],[    Target risk rating]]))</f>
        <v>0</v>
      </c>
      <c r="N16" s="47"/>
      <c r="O16" s="33"/>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row>
    <row r="17" spans="1:225" s="9" customFormat="1" ht="32.25" customHeight="1">
      <c r="A17" s="41" t="s">
        <v>29</v>
      </c>
      <c r="B17" s="42"/>
      <c r="C17" s="42"/>
      <c r="D17" s="43"/>
      <c r="E17" s="43"/>
      <c r="F17" s="34">
        <f t="shared" si="1"/>
        <v>0</v>
      </c>
      <c r="G17" s="42"/>
      <c r="H17" s="40"/>
      <c r="I17" s="43"/>
      <c r="J17" s="43">
        <f>Table24[[#This Row],[    Raw probability]]</f>
        <v>0</v>
      </c>
      <c r="K17" s="43">
        <f>Table24[[#This Row],[    Raw impact]]</f>
        <v>0</v>
      </c>
      <c r="L17" s="34">
        <f t="shared" si="0"/>
        <v>0</v>
      </c>
      <c r="M17" s="43">
        <f>Table24[[#This Row],[    Raw risk rating]]-(Table24[[#This Row],[    Treatment status]]*(Table24[[#This Row],[    Raw risk rating]]-Table24[[#This Row],[    Target risk rating]]))</f>
        <v>0</v>
      </c>
      <c r="N17" s="47"/>
      <c r="O17" s="33"/>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row>
    <row r="18" spans="1:225" s="9" customFormat="1" ht="32.25" customHeight="1">
      <c r="A18" s="41" t="s">
        <v>30</v>
      </c>
      <c r="B18" s="42"/>
      <c r="C18" s="42"/>
      <c r="D18" s="43"/>
      <c r="E18" s="43"/>
      <c r="F18" s="34">
        <f t="shared" si="1"/>
        <v>0</v>
      </c>
      <c r="G18" s="42"/>
      <c r="H18" s="40"/>
      <c r="I18" s="43"/>
      <c r="J18" s="43">
        <f>Table24[[#This Row],[    Raw probability]]</f>
        <v>0</v>
      </c>
      <c r="K18" s="43">
        <f>Table24[[#This Row],[    Raw impact]]</f>
        <v>0</v>
      </c>
      <c r="L18" s="34">
        <f t="shared" si="0"/>
        <v>0</v>
      </c>
      <c r="M18" s="43">
        <f>Table24[[#This Row],[    Raw risk rating]]-(Table24[[#This Row],[    Treatment status]]*(Table24[[#This Row],[    Raw risk rating]]-Table24[[#This Row],[    Target risk rating]]))</f>
        <v>0</v>
      </c>
      <c r="N18" s="47"/>
      <c r="O18" s="33"/>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row>
    <row r="19" spans="1:225" s="9" customFormat="1" ht="32.25" customHeight="1">
      <c r="A19" s="41" t="s">
        <v>31</v>
      </c>
      <c r="B19" s="42"/>
      <c r="C19" s="42"/>
      <c r="D19" s="43"/>
      <c r="E19" s="43"/>
      <c r="F19" s="34">
        <f t="shared" si="1"/>
        <v>0</v>
      </c>
      <c r="G19" s="42"/>
      <c r="H19" s="40"/>
      <c r="I19" s="43"/>
      <c r="J19" s="43">
        <f>Table24[[#This Row],[    Raw probability]]</f>
        <v>0</v>
      </c>
      <c r="K19" s="43">
        <f>Table24[[#This Row],[    Raw impact]]</f>
        <v>0</v>
      </c>
      <c r="L19" s="34">
        <f t="shared" si="0"/>
        <v>0</v>
      </c>
      <c r="M19" s="43">
        <f>Table24[[#This Row],[    Raw risk rating]]-(Table24[[#This Row],[    Treatment status]]*(Table24[[#This Row],[    Raw risk rating]]-Table24[[#This Row],[    Target risk rating]]))</f>
        <v>0</v>
      </c>
      <c r="N19" s="47"/>
      <c r="O19" s="33"/>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row>
    <row r="20" spans="1:225" s="9" customFormat="1" ht="32.25" customHeight="1">
      <c r="A20" s="41" t="s">
        <v>32</v>
      </c>
      <c r="B20" s="42"/>
      <c r="C20" s="42"/>
      <c r="D20" s="43"/>
      <c r="E20" s="43"/>
      <c r="F20" s="34">
        <f t="shared" si="1"/>
        <v>0</v>
      </c>
      <c r="G20" s="42"/>
      <c r="H20" s="40"/>
      <c r="I20" s="43"/>
      <c r="J20" s="43">
        <f>Table24[[#This Row],[    Raw probability]]</f>
        <v>0</v>
      </c>
      <c r="K20" s="43">
        <f>Table24[[#This Row],[    Raw impact]]</f>
        <v>0</v>
      </c>
      <c r="L20" s="34">
        <f t="shared" si="0"/>
        <v>0</v>
      </c>
      <c r="M20" s="43">
        <f>Table24[[#This Row],[    Raw risk rating]]-(Table24[[#This Row],[    Treatment status]]*(Table24[[#This Row],[    Raw risk rating]]-Table24[[#This Row],[    Target risk rating]]))</f>
        <v>0</v>
      </c>
      <c r="N20" s="47"/>
      <c r="O20" s="33"/>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row>
    <row r="21" spans="1:225" s="9" customFormat="1" ht="32.25" customHeight="1">
      <c r="A21" s="41" t="s">
        <v>33</v>
      </c>
      <c r="B21" s="42"/>
      <c r="C21" s="42"/>
      <c r="D21" s="43"/>
      <c r="E21" s="43"/>
      <c r="F21" s="34">
        <f t="shared" si="1"/>
        <v>0</v>
      </c>
      <c r="G21" s="42"/>
      <c r="H21" s="40"/>
      <c r="I21" s="43"/>
      <c r="J21" s="43">
        <f>Table24[[#This Row],[    Raw probability]]</f>
        <v>0</v>
      </c>
      <c r="K21" s="43">
        <f>Table24[[#This Row],[    Raw impact]]</f>
        <v>0</v>
      </c>
      <c r="L21" s="34">
        <f t="shared" si="0"/>
        <v>0</v>
      </c>
      <c r="M21" s="43">
        <f>Table24[[#This Row],[    Raw risk rating]]-(Table24[[#This Row],[    Treatment status]]*(Table24[[#This Row],[    Raw risk rating]]-Table24[[#This Row],[    Target risk rating]]))</f>
        <v>0</v>
      </c>
      <c r="N21" s="47"/>
      <c r="O21" s="33"/>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c r="HC21" s="6"/>
      <c r="HD21" s="6"/>
      <c r="HE21" s="6"/>
      <c r="HF21" s="6"/>
      <c r="HG21" s="6"/>
      <c r="HH21" s="6"/>
      <c r="HI21" s="6"/>
      <c r="HJ21" s="6"/>
      <c r="HK21" s="6"/>
      <c r="HL21" s="6"/>
      <c r="HM21" s="6"/>
      <c r="HN21" s="6"/>
      <c r="HO21" s="6"/>
      <c r="HP21" s="6"/>
      <c r="HQ21" s="6"/>
    </row>
    <row r="22" spans="1:225" s="9" customFormat="1" ht="32.25" customHeight="1">
      <c r="A22" s="41" t="s">
        <v>34</v>
      </c>
      <c r="B22" s="42"/>
      <c r="C22" s="42"/>
      <c r="D22" s="43"/>
      <c r="E22" s="43"/>
      <c r="F22" s="34">
        <f t="shared" si="1"/>
        <v>0</v>
      </c>
      <c r="G22" s="42"/>
      <c r="H22" s="40"/>
      <c r="I22" s="43"/>
      <c r="J22" s="43">
        <f>Table24[[#This Row],[    Raw probability]]</f>
        <v>0</v>
      </c>
      <c r="K22" s="43">
        <f>Table24[[#This Row],[    Raw impact]]</f>
        <v>0</v>
      </c>
      <c r="L22" s="34">
        <f t="shared" si="0"/>
        <v>0</v>
      </c>
      <c r="M22" s="43">
        <f>Table24[[#This Row],[    Raw risk rating]]-(Table24[[#This Row],[    Treatment status]]*(Table24[[#This Row],[    Raw risk rating]]-Table24[[#This Row],[    Target risk rating]]))</f>
        <v>0</v>
      </c>
      <c r="N22" s="47"/>
      <c r="O22" s="33"/>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c r="GT22" s="6"/>
      <c r="GU22" s="6"/>
      <c r="GV22" s="6"/>
      <c r="GW22" s="6"/>
      <c r="GX22" s="6"/>
      <c r="GY22" s="6"/>
      <c r="GZ22" s="6"/>
      <c r="HA22" s="6"/>
      <c r="HB22" s="6"/>
      <c r="HC22" s="6"/>
      <c r="HD22" s="6"/>
      <c r="HE22" s="6"/>
      <c r="HF22" s="6"/>
      <c r="HG22" s="6"/>
      <c r="HH22" s="6"/>
      <c r="HI22" s="6"/>
      <c r="HJ22" s="6"/>
      <c r="HK22" s="6"/>
      <c r="HL22" s="6"/>
      <c r="HM22" s="6"/>
      <c r="HN22" s="6"/>
      <c r="HO22" s="6"/>
      <c r="HP22" s="6"/>
      <c r="HQ22" s="6"/>
    </row>
    <row r="23" spans="1:225" s="9" customFormat="1" ht="32.25" customHeight="1">
      <c r="A23" s="41" t="s">
        <v>35</v>
      </c>
      <c r="B23" s="42"/>
      <c r="C23" s="42"/>
      <c r="D23" s="43"/>
      <c r="E23" s="43"/>
      <c r="F23" s="34">
        <f t="shared" si="1"/>
        <v>0</v>
      </c>
      <c r="G23" s="42"/>
      <c r="H23" s="40"/>
      <c r="I23" s="43"/>
      <c r="J23" s="43">
        <f>Table24[[#This Row],[    Raw probability]]</f>
        <v>0</v>
      </c>
      <c r="K23" s="43">
        <f>Table24[[#This Row],[    Raw impact]]</f>
        <v>0</v>
      </c>
      <c r="L23" s="34">
        <f t="shared" si="0"/>
        <v>0</v>
      </c>
      <c r="M23" s="43">
        <f>Table24[[#This Row],[    Raw risk rating]]-(Table24[[#This Row],[    Treatment status]]*(Table24[[#This Row],[    Raw risk rating]]-Table24[[#This Row],[    Target risk rating]]))</f>
        <v>0</v>
      </c>
      <c r="N23" s="47"/>
      <c r="O23" s="33"/>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c r="HO23" s="6"/>
      <c r="HP23" s="6"/>
      <c r="HQ23" s="6"/>
    </row>
    <row r="24" spans="1:225" s="9" customFormat="1" ht="32.25" customHeight="1">
      <c r="A24" s="44" t="s">
        <v>36</v>
      </c>
      <c r="B24" s="45"/>
      <c r="C24" s="42"/>
      <c r="D24" s="46"/>
      <c r="E24" s="46"/>
      <c r="F24" s="35">
        <f>D24*E24</f>
        <v>0</v>
      </c>
      <c r="G24" s="42"/>
      <c r="H24" s="40"/>
      <c r="I24" s="46"/>
      <c r="J24" s="43">
        <f>Table24[[#This Row],[    Raw probability]]</f>
        <v>0</v>
      </c>
      <c r="K24" s="43">
        <f>Table24[[#This Row],[    Raw impact]]</f>
        <v>0</v>
      </c>
      <c r="L24" s="35">
        <f>J24*K24</f>
        <v>0</v>
      </c>
      <c r="M24" s="43">
        <f>Table24[[#This Row],[    Raw risk rating]]-(Table24[[#This Row],[    Treatment status]]*(Table24[[#This Row],[    Raw risk rating]]-Table24[[#This Row],[    Target risk rating]]))</f>
        <v>0</v>
      </c>
      <c r="N24" s="48"/>
      <c r="O24" s="33"/>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c r="DD24" s="6"/>
      <c r="DE24" s="6"/>
      <c r="DF24" s="6"/>
      <c r="DG24" s="6"/>
      <c r="DH24" s="6"/>
      <c r="DI24" s="6"/>
      <c r="DJ24" s="6"/>
      <c r="DK24" s="6"/>
      <c r="DL24" s="6"/>
      <c r="DM24" s="6"/>
      <c r="DN24" s="6"/>
      <c r="DO24" s="6"/>
      <c r="DP24" s="6"/>
      <c r="DQ24" s="6"/>
      <c r="DR24" s="6"/>
      <c r="DS24" s="6"/>
      <c r="DT24" s="6"/>
      <c r="DU24" s="6"/>
      <c r="DV24" s="6"/>
      <c r="DW24" s="6"/>
      <c r="DX24" s="6"/>
      <c r="DY24" s="6"/>
      <c r="DZ24" s="6"/>
      <c r="EA24" s="6"/>
      <c r="EB24" s="6"/>
      <c r="EC24" s="6"/>
      <c r="ED24" s="6"/>
      <c r="EE24" s="6"/>
      <c r="EF24" s="6"/>
      <c r="EG24" s="6"/>
      <c r="EH24" s="6"/>
      <c r="EI24" s="6"/>
      <c r="EJ24" s="6"/>
      <c r="EK24" s="6"/>
      <c r="EL24" s="6"/>
      <c r="EM24" s="6"/>
      <c r="EN24" s="6"/>
      <c r="EO24" s="6"/>
      <c r="EP24" s="6"/>
      <c r="EQ24" s="6"/>
      <c r="ER24" s="6"/>
      <c r="ES24" s="6"/>
      <c r="ET24" s="6"/>
      <c r="EU24" s="6"/>
      <c r="EV24" s="6"/>
      <c r="EW24" s="6"/>
      <c r="EX24" s="6"/>
      <c r="EY24" s="6"/>
      <c r="EZ24" s="6"/>
      <c r="FA24" s="6"/>
      <c r="FB24" s="6"/>
      <c r="FC24" s="6"/>
      <c r="FD24" s="6"/>
      <c r="FE24" s="6"/>
      <c r="FF24" s="6"/>
      <c r="FG24" s="6"/>
      <c r="FH24" s="6"/>
      <c r="FI24" s="6"/>
      <c r="FJ24" s="6"/>
      <c r="FK24" s="6"/>
      <c r="FL24" s="6"/>
      <c r="FM24" s="6"/>
      <c r="FN24" s="6"/>
      <c r="FO24" s="6"/>
      <c r="FP24" s="6"/>
      <c r="FQ24" s="6"/>
      <c r="FR24" s="6"/>
      <c r="FS24" s="6"/>
      <c r="FT24" s="6"/>
      <c r="FU24" s="6"/>
      <c r="FV24" s="6"/>
      <c r="FW24" s="6"/>
      <c r="FX24" s="6"/>
      <c r="FY24" s="6"/>
      <c r="FZ24" s="6"/>
      <c r="GA24" s="6"/>
      <c r="GB24" s="6"/>
      <c r="GC24" s="6"/>
      <c r="GD24" s="6"/>
      <c r="GE24" s="6"/>
      <c r="GF24" s="6"/>
      <c r="GG24" s="6"/>
      <c r="GH24" s="6"/>
      <c r="GI24" s="6"/>
      <c r="GJ24" s="6"/>
      <c r="GK24" s="6"/>
      <c r="GL24" s="6"/>
      <c r="GM24" s="6"/>
      <c r="GN24" s="6"/>
      <c r="GO24" s="6"/>
      <c r="GP24" s="6"/>
      <c r="GQ24" s="6"/>
      <c r="GR24" s="6"/>
      <c r="GS24" s="6"/>
      <c r="GT24" s="6"/>
      <c r="GU24" s="6"/>
      <c r="GV24" s="6"/>
      <c r="GW24" s="6"/>
      <c r="GX24" s="6"/>
      <c r="GY24" s="6"/>
      <c r="GZ24" s="6"/>
      <c r="HA24" s="6"/>
      <c r="HB24" s="6"/>
      <c r="HC24" s="6"/>
      <c r="HD24" s="6"/>
      <c r="HE24" s="6"/>
      <c r="HF24" s="6"/>
      <c r="HG24" s="6"/>
      <c r="HH24" s="6"/>
      <c r="HI24" s="6"/>
      <c r="HJ24" s="6"/>
      <c r="HK24" s="6"/>
      <c r="HL24" s="6"/>
      <c r="HM24" s="6"/>
      <c r="HN24" s="6"/>
      <c r="HO24" s="6"/>
      <c r="HP24" s="6"/>
      <c r="HQ24" s="6"/>
    </row>
    <row r="25" spans="1:225" s="9" customFormat="1" ht="32.25" customHeight="1">
      <c r="A25" s="44" t="s">
        <v>37</v>
      </c>
      <c r="B25" s="45"/>
      <c r="C25" s="45"/>
      <c r="D25" s="46"/>
      <c r="E25" s="46"/>
      <c r="F25" s="35">
        <f>D25*E25</f>
        <v>0</v>
      </c>
      <c r="G25" s="45"/>
      <c r="H25" s="40"/>
      <c r="I25" s="46"/>
      <c r="J25" s="43">
        <f>Table24[[#This Row],[    Raw probability]]</f>
        <v>0</v>
      </c>
      <c r="K25" s="43">
        <f>Table24[[#This Row],[    Raw impact]]</f>
        <v>0</v>
      </c>
      <c r="L25" s="35">
        <f>J25*K25</f>
        <v>0</v>
      </c>
      <c r="M25" s="43">
        <f>Table24[[#This Row],[    Raw risk rating]]-(Table24[[#This Row],[    Treatment status]]*(Table24[[#This Row],[    Raw risk rating]]-Table24[[#This Row],[    Target risk rating]]))</f>
        <v>0</v>
      </c>
      <c r="N25" s="48"/>
      <c r="O25" s="33"/>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c r="DD25" s="6"/>
      <c r="DE25" s="6"/>
      <c r="DF25" s="6"/>
      <c r="DG25" s="6"/>
      <c r="DH25" s="6"/>
      <c r="DI25" s="6"/>
      <c r="DJ25" s="6"/>
      <c r="DK25" s="6"/>
      <c r="DL25" s="6"/>
      <c r="DM25" s="6"/>
      <c r="DN25" s="6"/>
      <c r="DO25" s="6"/>
      <c r="DP25" s="6"/>
      <c r="DQ25" s="6"/>
      <c r="DR25" s="6"/>
      <c r="DS25" s="6"/>
      <c r="DT25" s="6"/>
      <c r="DU25" s="6"/>
      <c r="DV25" s="6"/>
      <c r="DW25" s="6"/>
      <c r="DX25" s="6"/>
      <c r="DY25" s="6"/>
      <c r="DZ25" s="6"/>
      <c r="EA25" s="6"/>
      <c r="EB25" s="6"/>
      <c r="EC25" s="6"/>
      <c r="ED25" s="6"/>
      <c r="EE25" s="6"/>
      <c r="EF25" s="6"/>
      <c r="EG25" s="6"/>
      <c r="EH25" s="6"/>
      <c r="EI25" s="6"/>
      <c r="EJ25" s="6"/>
      <c r="EK25" s="6"/>
      <c r="EL25" s="6"/>
      <c r="EM25" s="6"/>
      <c r="EN25" s="6"/>
      <c r="EO25" s="6"/>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6"/>
      <c r="FS25" s="6"/>
      <c r="FT25" s="6"/>
      <c r="FU25" s="6"/>
      <c r="FV25" s="6"/>
      <c r="FW25" s="6"/>
      <c r="FX25" s="6"/>
      <c r="FY25" s="6"/>
      <c r="FZ25" s="6"/>
      <c r="GA25" s="6"/>
      <c r="GB25" s="6"/>
      <c r="GC25" s="6"/>
      <c r="GD25" s="6"/>
      <c r="GE25" s="6"/>
      <c r="GF25" s="6"/>
      <c r="GG25" s="6"/>
      <c r="GH25" s="6"/>
      <c r="GI25" s="6"/>
      <c r="GJ25" s="6"/>
      <c r="GK25" s="6"/>
      <c r="GL25" s="6"/>
      <c r="GM25" s="6"/>
      <c r="GN25" s="6"/>
      <c r="GO25" s="6"/>
      <c r="GP25" s="6"/>
      <c r="GQ25" s="6"/>
      <c r="GR25" s="6"/>
      <c r="GS25" s="6"/>
      <c r="GT25" s="6"/>
      <c r="GU25" s="6"/>
      <c r="GV25" s="6"/>
      <c r="GW25" s="6"/>
      <c r="GX25" s="6"/>
      <c r="GY25" s="6"/>
      <c r="GZ25" s="6"/>
      <c r="HA25" s="6"/>
      <c r="HB25" s="6"/>
      <c r="HC25" s="6"/>
      <c r="HD25" s="6"/>
      <c r="HE25" s="6"/>
      <c r="HF25" s="6"/>
      <c r="HG25" s="6"/>
      <c r="HH25" s="6"/>
      <c r="HI25" s="6"/>
      <c r="HJ25" s="6"/>
      <c r="HK25" s="6"/>
      <c r="HL25" s="6"/>
      <c r="HM25" s="6"/>
      <c r="HN25" s="6"/>
      <c r="HO25" s="6"/>
      <c r="HP25" s="6"/>
      <c r="HQ25" s="6"/>
    </row>
    <row r="26" spans="1:225" s="9" customFormat="1" ht="32.25" customHeight="1">
      <c r="A26" s="44" t="s">
        <v>38</v>
      </c>
      <c r="B26" s="45"/>
      <c r="C26" s="45"/>
      <c r="D26" s="46"/>
      <c r="E26" s="46"/>
      <c r="F26" s="35">
        <f t="shared" si="1"/>
        <v>0</v>
      </c>
      <c r="G26" s="45"/>
      <c r="H26" s="40"/>
      <c r="I26" s="46"/>
      <c r="J26" s="43">
        <f>Table24[[#This Row],[    Raw probability]]</f>
        <v>0</v>
      </c>
      <c r="K26" s="43">
        <f>Table24[[#This Row],[    Raw impact]]</f>
        <v>0</v>
      </c>
      <c r="L26" s="35">
        <f t="shared" si="0"/>
        <v>0</v>
      </c>
      <c r="M26" s="43">
        <f>Table24[[#This Row],[    Raw risk rating]]-(Table24[[#This Row],[    Treatment status]]*(Table24[[#This Row],[    Raw risk rating]]-Table24[[#This Row],[    Target risk rating]]))</f>
        <v>0</v>
      </c>
      <c r="N26" s="48"/>
      <c r="O26" s="33"/>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c r="EC26" s="6"/>
      <c r="ED26" s="6"/>
      <c r="EE26" s="6"/>
      <c r="EF26" s="6"/>
      <c r="EG26" s="6"/>
      <c r="EH26" s="6"/>
      <c r="EI26" s="6"/>
      <c r="EJ26" s="6"/>
      <c r="EK26" s="6"/>
      <c r="EL26" s="6"/>
      <c r="EM26" s="6"/>
      <c r="EN26" s="6"/>
      <c r="EO26" s="6"/>
      <c r="EP26" s="6"/>
      <c r="EQ26" s="6"/>
      <c r="ER26" s="6"/>
      <c r="ES26" s="6"/>
      <c r="ET26" s="6"/>
      <c r="EU26" s="6"/>
      <c r="EV26" s="6"/>
      <c r="EW26" s="6"/>
      <c r="EX26" s="6"/>
      <c r="EY26" s="6"/>
      <c r="EZ26" s="6"/>
      <c r="FA26" s="6"/>
      <c r="FB26" s="6"/>
      <c r="FC26" s="6"/>
      <c r="FD26" s="6"/>
      <c r="FE26" s="6"/>
      <c r="FF26" s="6"/>
      <c r="FG26" s="6"/>
      <c r="FH26" s="6"/>
      <c r="FI26" s="6"/>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6"/>
      <c r="GJ26" s="6"/>
      <c r="GK26" s="6"/>
      <c r="GL26" s="6"/>
      <c r="GM26" s="6"/>
      <c r="GN26" s="6"/>
      <c r="GO26" s="6"/>
      <c r="GP26" s="6"/>
      <c r="GQ26" s="6"/>
      <c r="GR26" s="6"/>
      <c r="GS26" s="6"/>
      <c r="GT26" s="6"/>
      <c r="GU26" s="6"/>
      <c r="GV26" s="6"/>
      <c r="GW26" s="6"/>
      <c r="GX26" s="6"/>
      <c r="GY26" s="6"/>
      <c r="GZ26" s="6"/>
      <c r="HA26" s="6"/>
      <c r="HB26" s="6"/>
      <c r="HC26" s="6"/>
      <c r="HD26" s="6"/>
      <c r="HE26" s="6"/>
      <c r="HF26" s="6"/>
      <c r="HG26" s="6"/>
      <c r="HH26" s="6"/>
      <c r="HI26" s="6"/>
      <c r="HJ26" s="6"/>
      <c r="HK26" s="6"/>
      <c r="HL26" s="6"/>
      <c r="HM26" s="6"/>
      <c r="HN26" s="6"/>
      <c r="HO26" s="6"/>
      <c r="HP26" s="6"/>
      <c r="HQ26" s="6"/>
    </row>
    <row r="27" spans="1:225" ht="36" customHeight="1">
      <c r="A27" s="41" t="s">
        <v>39</v>
      </c>
      <c r="B27" s="42"/>
      <c r="C27" s="42"/>
      <c r="D27" s="51"/>
      <c r="E27" s="51"/>
      <c r="F27" s="52">
        <f t="shared" ref="F27:F33" si="2">D27*E27</f>
        <v>0</v>
      </c>
      <c r="G27" s="42"/>
      <c r="H27" s="53"/>
      <c r="I27" s="51"/>
      <c r="J27" s="51">
        <f>Table24[[#This Row],[    Raw probability]]</f>
        <v>0</v>
      </c>
      <c r="K27" s="51">
        <f>Table24[[#This Row],[    Raw impact]]</f>
        <v>0</v>
      </c>
      <c r="L27" s="54">
        <f t="shared" ref="L27:L33" si="3">J27*K27</f>
        <v>0</v>
      </c>
      <c r="M27" s="51">
        <f>Table24[[#This Row],[    Raw risk rating]]-(Table24[[#This Row],[    Treatment status]]*(Table24[[#This Row],[    Raw risk rating]]-Table24[[#This Row],[    Target risk rating]]))</f>
        <v>0</v>
      </c>
      <c r="N27" s="55"/>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c r="HO27" s="6"/>
      <c r="HP27" s="6"/>
      <c r="HQ27" s="6"/>
    </row>
    <row r="28" spans="1:225" ht="31.15" customHeight="1">
      <c r="A28" s="41" t="s">
        <v>40</v>
      </c>
      <c r="B28" s="42"/>
      <c r="C28" s="42"/>
      <c r="D28" s="51"/>
      <c r="E28" s="51"/>
      <c r="F28" s="52">
        <f t="shared" si="2"/>
        <v>0</v>
      </c>
      <c r="G28" s="42"/>
      <c r="H28" s="53"/>
      <c r="I28" s="51"/>
      <c r="J28" s="51">
        <f>Table24[[#This Row],[    Raw probability]]</f>
        <v>0</v>
      </c>
      <c r="K28" s="51">
        <f>Table24[[#This Row],[    Raw impact]]</f>
        <v>0</v>
      </c>
      <c r="L28" s="54">
        <f t="shared" si="3"/>
        <v>0</v>
      </c>
      <c r="M28" s="51">
        <f>Table24[[#This Row],[    Raw risk rating]]-(Table24[[#This Row],[    Treatment status]]*(Table24[[#This Row],[    Raw risk rating]]-Table24[[#This Row],[    Target risk rating]]))</f>
        <v>0</v>
      </c>
      <c r="N28" s="55"/>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c r="HL28" s="6"/>
      <c r="HM28" s="6"/>
      <c r="HN28" s="6"/>
      <c r="HO28" s="6"/>
      <c r="HP28" s="6"/>
      <c r="HQ28" s="6"/>
    </row>
    <row r="29" spans="1:225" ht="34.9" customHeight="1">
      <c r="A29" s="41" t="s">
        <v>41</v>
      </c>
      <c r="B29" s="42"/>
      <c r="C29" s="42"/>
      <c r="D29" s="51"/>
      <c r="E29" s="51"/>
      <c r="F29" s="52">
        <f t="shared" si="2"/>
        <v>0</v>
      </c>
      <c r="G29" s="42"/>
      <c r="H29" s="53"/>
      <c r="I29" s="51"/>
      <c r="J29" s="51">
        <f>Table24[[#This Row],[    Raw probability]]</f>
        <v>0</v>
      </c>
      <c r="K29" s="51">
        <f>Table24[[#This Row],[    Raw impact]]</f>
        <v>0</v>
      </c>
      <c r="L29" s="54">
        <f t="shared" si="3"/>
        <v>0</v>
      </c>
      <c r="M29" s="51">
        <f>Table24[[#This Row],[    Raw risk rating]]-(Table24[[#This Row],[    Treatment status]]*(Table24[[#This Row],[    Raw risk rating]]-Table24[[#This Row],[    Target risk rating]]))</f>
        <v>0</v>
      </c>
      <c r="N29" s="55"/>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c r="HO29" s="6"/>
      <c r="HP29" s="6"/>
      <c r="HQ29" s="6"/>
    </row>
    <row r="30" spans="1:225">
      <c r="A30" s="41" t="s">
        <v>42</v>
      </c>
      <c r="B30" s="42"/>
      <c r="C30" s="42"/>
      <c r="D30" s="51"/>
      <c r="E30" s="51"/>
      <c r="F30" s="52">
        <f t="shared" si="2"/>
        <v>0</v>
      </c>
      <c r="G30" s="42"/>
      <c r="H30" s="53"/>
      <c r="I30" s="51"/>
      <c r="J30" s="51">
        <f>Table24[[#This Row],[    Raw probability]]</f>
        <v>0</v>
      </c>
      <c r="K30" s="51">
        <f>Table24[[#This Row],[    Raw impact]]</f>
        <v>0</v>
      </c>
      <c r="L30" s="54">
        <f t="shared" si="3"/>
        <v>0</v>
      </c>
      <c r="M30" s="51">
        <f>Table24[[#This Row],[    Raw risk rating]]-(Table24[[#This Row],[    Treatment status]]*(Table24[[#This Row],[    Raw risk rating]]-Table24[[#This Row],[    Target risk rating]]))</f>
        <v>0</v>
      </c>
      <c r="N30" s="55"/>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c r="GQ30" s="6"/>
      <c r="GR30" s="6"/>
      <c r="GS30" s="6"/>
      <c r="GT30" s="6"/>
      <c r="GU30" s="6"/>
      <c r="GV30" s="6"/>
      <c r="GW30" s="6"/>
      <c r="GX30" s="6"/>
      <c r="GY30" s="6"/>
      <c r="GZ30" s="6"/>
      <c r="HA30" s="6"/>
      <c r="HB30" s="6"/>
      <c r="HC30" s="6"/>
      <c r="HD30" s="6"/>
      <c r="HE30" s="6"/>
      <c r="HF30" s="6"/>
      <c r="HG30" s="6"/>
      <c r="HH30" s="6"/>
      <c r="HI30" s="6"/>
      <c r="HJ30" s="6"/>
      <c r="HK30" s="6"/>
      <c r="HL30" s="6"/>
      <c r="HM30" s="6"/>
      <c r="HN30" s="6"/>
      <c r="HO30" s="6"/>
      <c r="HP30" s="6"/>
      <c r="HQ30" s="6"/>
    </row>
    <row r="31" spans="1:225">
      <c r="A31" s="41" t="s">
        <v>43</v>
      </c>
      <c r="B31" s="42"/>
      <c r="C31" s="42"/>
      <c r="D31" s="51"/>
      <c r="E31" s="51"/>
      <c r="F31" s="52">
        <f t="shared" si="2"/>
        <v>0</v>
      </c>
      <c r="G31" s="42"/>
      <c r="H31" s="53"/>
      <c r="I31" s="51"/>
      <c r="J31" s="51">
        <f>Table24[[#This Row],[    Raw probability]]</f>
        <v>0</v>
      </c>
      <c r="K31" s="51">
        <f>Table24[[#This Row],[    Raw impact]]</f>
        <v>0</v>
      </c>
      <c r="L31" s="54">
        <f t="shared" si="3"/>
        <v>0</v>
      </c>
      <c r="M31" s="51">
        <f>Table24[[#This Row],[    Raw risk rating]]-(Table24[[#This Row],[    Treatment status]]*(Table24[[#This Row],[    Raw risk rating]]-Table24[[#This Row],[    Target risk rating]]))</f>
        <v>0</v>
      </c>
      <c r="N31" s="55"/>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c r="HO31" s="6"/>
      <c r="HP31" s="6"/>
      <c r="HQ31" s="6"/>
    </row>
    <row r="32" spans="1:225">
      <c r="A32" s="41" t="s">
        <v>44</v>
      </c>
      <c r="B32" s="42"/>
      <c r="C32" s="42"/>
      <c r="D32" s="51"/>
      <c r="E32" s="51"/>
      <c r="F32" s="52">
        <f t="shared" si="2"/>
        <v>0</v>
      </c>
      <c r="G32" s="42"/>
      <c r="H32" s="53"/>
      <c r="I32" s="51"/>
      <c r="J32" s="51">
        <f>Table24[[#This Row],[    Raw probability]]</f>
        <v>0</v>
      </c>
      <c r="K32" s="51">
        <f>Table24[[#This Row],[    Raw impact]]</f>
        <v>0</v>
      </c>
      <c r="L32" s="54">
        <f t="shared" si="3"/>
        <v>0</v>
      </c>
      <c r="M32" s="51">
        <f>Table24[[#This Row],[    Raw risk rating]]-(Table24[[#This Row],[    Treatment status]]*(Table24[[#This Row],[    Raw risk rating]]-Table24[[#This Row],[    Target risk rating]]))</f>
        <v>0</v>
      </c>
      <c r="N32" s="55"/>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6"/>
      <c r="EA32" s="6"/>
      <c r="EB32" s="6"/>
      <c r="EC32" s="6"/>
      <c r="ED32" s="6"/>
      <c r="EE32" s="6"/>
      <c r="EF32" s="6"/>
      <c r="EG32" s="6"/>
      <c r="EH32" s="6"/>
      <c r="EI32" s="6"/>
      <c r="EJ32" s="6"/>
      <c r="EK32" s="6"/>
      <c r="EL32" s="6"/>
      <c r="EM32" s="6"/>
      <c r="EN32" s="6"/>
      <c r="EO32" s="6"/>
      <c r="EP32" s="6"/>
      <c r="EQ32" s="6"/>
      <c r="ER32" s="6"/>
      <c r="ES32" s="6"/>
      <c r="ET32" s="6"/>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6"/>
      <c r="FU32" s="6"/>
      <c r="FV32" s="6"/>
      <c r="FW32" s="6"/>
      <c r="FX32" s="6"/>
      <c r="FY32" s="6"/>
      <c r="FZ32" s="6"/>
      <c r="GA32" s="6"/>
      <c r="GB32" s="6"/>
      <c r="GC32" s="6"/>
      <c r="GD32" s="6"/>
      <c r="GE32" s="6"/>
      <c r="GF32" s="6"/>
      <c r="GG32" s="6"/>
      <c r="GH32" s="6"/>
      <c r="GI32" s="6"/>
      <c r="GJ32" s="6"/>
      <c r="GK32" s="6"/>
      <c r="GL32" s="6"/>
      <c r="GM32" s="6"/>
      <c r="GN32" s="6"/>
      <c r="GO32" s="6"/>
      <c r="GP32" s="6"/>
      <c r="GQ32" s="6"/>
      <c r="GR32" s="6"/>
      <c r="GS32" s="6"/>
      <c r="GT32" s="6"/>
      <c r="GU32" s="6"/>
      <c r="GV32" s="6"/>
      <c r="GW32" s="6"/>
      <c r="GX32" s="6"/>
      <c r="GY32" s="6"/>
      <c r="GZ32" s="6"/>
      <c r="HA32" s="6"/>
      <c r="HB32" s="6"/>
      <c r="HC32" s="6"/>
      <c r="HD32" s="6"/>
      <c r="HE32" s="6"/>
      <c r="HF32" s="6"/>
      <c r="HG32" s="6"/>
      <c r="HH32" s="6"/>
      <c r="HI32" s="6"/>
      <c r="HJ32" s="6"/>
      <c r="HK32" s="6"/>
      <c r="HL32" s="6"/>
      <c r="HM32" s="6"/>
      <c r="HN32" s="6"/>
      <c r="HO32" s="6"/>
      <c r="HP32" s="6"/>
      <c r="HQ32" s="6"/>
    </row>
    <row r="33" spans="1:225">
      <c r="A33" s="41" t="s">
        <v>45</v>
      </c>
      <c r="B33" s="42"/>
      <c r="C33" s="42"/>
      <c r="D33" s="51"/>
      <c r="E33" s="51"/>
      <c r="F33" s="52">
        <f t="shared" si="2"/>
        <v>0</v>
      </c>
      <c r="G33" s="42"/>
      <c r="H33" s="53"/>
      <c r="I33" s="51"/>
      <c r="J33" s="51">
        <f>Table24[[#This Row],[    Raw probability]]</f>
        <v>0</v>
      </c>
      <c r="K33" s="51">
        <f>Table24[[#This Row],[    Raw impact]]</f>
        <v>0</v>
      </c>
      <c r="L33" s="54">
        <f t="shared" si="3"/>
        <v>0</v>
      </c>
      <c r="M33" s="51">
        <f>Table24[[#This Row],[    Raw risk rating]]-(Table24[[#This Row],[    Treatment status]]*(Table24[[#This Row],[    Raw risk rating]]-Table24[[#This Row],[    Target risk rating]]))</f>
        <v>0</v>
      </c>
      <c r="N33" s="55"/>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c r="DH33" s="6"/>
      <c r="DI33" s="6"/>
      <c r="DJ33" s="6"/>
      <c r="DK33" s="6"/>
      <c r="DL33" s="6"/>
      <c r="DM33" s="6"/>
      <c r="DN33" s="6"/>
      <c r="DO33" s="6"/>
      <c r="DP33" s="6"/>
      <c r="DQ33" s="6"/>
      <c r="DR33" s="6"/>
      <c r="DS33" s="6"/>
      <c r="DT33" s="6"/>
      <c r="DU33" s="6"/>
      <c r="DV33" s="6"/>
      <c r="DW33" s="6"/>
      <c r="DX33" s="6"/>
      <c r="DY33" s="6"/>
      <c r="DZ33" s="6"/>
      <c r="EA33" s="6"/>
      <c r="EB33" s="6"/>
      <c r="EC33" s="6"/>
      <c r="ED33" s="6"/>
      <c r="EE33" s="6"/>
      <c r="EF33" s="6"/>
      <c r="EG33" s="6"/>
      <c r="EH33" s="6"/>
      <c r="EI33" s="6"/>
      <c r="EJ33" s="6"/>
      <c r="EK33" s="6"/>
      <c r="EL33" s="6"/>
      <c r="EM33" s="6"/>
      <c r="EN33" s="6"/>
      <c r="EO33" s="6"/>
      <c r="EP33" s="6"/>
      <c r="EQ33" s="6"/>
      <c r="ER33" s="6"/>
      <c r="ES33" s="6"/>
      <c r="ET33" s="6"/>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6"/>
      <c r="FU33" s="6"/>
      <c r="FV33" s="6"/>
      <c r="FW33" s="6"/>
      <c r="FX33" s="6"/>
      <c r="FY33" s="6"/>
      <c r="FZ33" s="6"/>
      <c r="GA33" s="6"/>
      <c r="GB33" s="6"/>
      <c r="GC33" s="6"/>
      <c r="GD33" s="6"/>
      <c r="GE33" s="6"/>
      <c r="GF33" s="6"/>
      <c r="GG33" s="6"/>
      <c r="GH33" s="6"/>
      <c r="GI33" s="6"/>
      <c r="GJ33" s="6"/>
      <c r="GK33" s="6"/>
      <c r="GL33" s="6"/>
      <c r="GM33" s="6"/>
      <c r="GN33" s="6"/>
      <c r="GO33" s="6"/>
      <c r="GP33" s="6"/>
      <c r="GQ33" s="6"/>
      <c r="GR33" s="6"/>
      <c r="GS33" s="6"/>
      <c r="GT33" s="6"/>
      <c r="GU33" s="6"/>
      <c r="GV33" s="6"/>
      <c r="GW33" s="6"/>
      <c r="GX33" s="6"/>
      <c r="GY33" s="6"/>
      <c r="GZ33" s="6"/>
      <c r="HA33" s="6"/>
      <c r="HB33" s="6"/>
      <c r="HC33" s="6"/>
      <c r="HD33" s="6"/>
      <c r="HE33" s="6"/>
      <c r="HF33" s="6"/>
      <c r="HG33" s="6"/>
      <c r="HH33" s="6"/>
      <c r="HI33" s="6"/>
      <c r="HJ33" s="6"/>
      <c r="HK33" s="6"/>
      <c r="HL33" s="6"/>
      <c r="HM33" s="6"/>
      <c r="HN33" s="6"/>
      <c r="HO33" s="6"/>
      <c r="HP33" s="6"/>
      <c r="HQ33" s="6"/>
    </row>
    <row r="34" spans="1:225">
      <c r="C34" s="50"/>
    </row>
  </sheetData>
  <conditionalFormatting sqref="A2:A33">
    <cfRule type="duplicateValues" dxfId="38" priority="14"/>
  </conditionalFormatting>
  <conditionalFormatting sqref="J2:J26 J27:K33">
    <cfRule type="cellIs" dxfId="37" priority="2" operator="notEqual">
      <formula>D2</formula>
    </cfRule>
  </conditionalFormatting>
  <conditionalFormatting sqref="K2:K26">
    <cfRule type="cellIs" dxfId="36" priority="1" operator="notEqual">
      <formula>E2</formula>
    </cfRule>
  </conditionalFormatting>
  <conditionalFormatting sqref="L2:M33 F2:F33">
    <cfRule type="colorScale" priority="16">
      <colorScale>
        <cfvo type="percent" val="0"/>
        <cfvo type="percentile" val="50"/>
        <cfvo type="percent" val="100"/>
        <color rgb="FF0B6914"/>
        <color rgb="FFFFEB84"/>
        <color rgb="FFC00000"/>
      </colorScale>
    </cfRule>
  </conditionalFormatting>
  <hyperlinks>
    <hyperlink ref="A1" location="'Guidance on usage'!A1" display="ID" xr:uid="{00000000-0004-0000-0100-000000000000}"/>
    <hyperlink ref="B1" location="'Guidance on usage'!A1" display="Risk description" xr:uid="{00000000-0004-0000-0100-000001000000}"/>
    <hyperlink ref="C1" location="'Guidance on usage'!A1" display="Impact description" xr:uid="{00000000-0004-0000-0100-000003000000}"/>
    <hyperlink ref="D1" location="'Guidance on scoring'!A1" display="Prob" xr:uid="{00000000-0004-0000-0100-000004000000}"/>
    <hyperlink ref="E1" location="'Guidance on scoring'!A1" display="Impact" xr:uid="{00000000-0004-0000-0100-000005000000}"/>
    <hyperlink ref="F1" location="'Guidance on scoring'!A1" display="Priority" xr:uid="{00000000-0004-0000-0100-000006000000}"/>
    <hyperlink ref="G1" location="'Guidance on usage'!A1" display="Mitigation description" xr:uid="{00000000-0004-0000-0100-000007000000}"/>
    <hyperlink ref="J1" location="'Guidance on scoring'!A1" display="Prob" xr:uid="{00000000-0004-0000-0100-000009000000}"/>
    <hyperlink ref="K1" location="'Guidance on scoring'!A1" display="Impact" xr:uid="{00000000-0004-0000-0100-00000A000000}"/>
    <hyperlink ref="L1" location="'Guidance on scoring'!A1" display="Priority" xr:uid="{00000000-0004-0000-0100-00000B000000}"/>
    <hyperlink ref="I1" location="'Guidance on usage'!A1" display="M-Status" xr:uid="{00000000-0004-0000-0100-00000D000000}"/>
    <hyperlink ref="H1" location="'Guidance on usage'!A1" display="M-Cost" xr:uid="{00000000-0004-0000-0100-000008000000}"/>
  </hyperlink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A72DD-BFAE-4E64-ABA8-E7CF9248B10D}">
  <dimension ref="A1:K33"/>
  <sheetViews>
    <sheetView tabSelected="1" topLeftCell="A8" workbookViewId="0">
      <selection activeCell="K2" sqref="K2"/>
    </sheetView>
  </sheetViews>
  <sheetFormatPr defaultRowHeight="14.25"/>
  <cols>
    <col min="2" max="2" width="28.875" customWidth="1"/>
    <col min="3" max="3" width="38.625" customWidth="1"/>
    <col min="7" max="7" width="38.75" customWidth="1"/>
    <col min="11" max="11" width="50.125" customWidth="1"/>
  </cols>
  <sheetData>
    <row r="1" spans="1:11" ht="150">
      <c r="A1" s="36" t="s">
        <v>0</v>
      </c>
      <c r="B1" s="37" t="s">
        <v>1</v>
      </c>
      <c r="C1" s="37" t="s">
        <v>2</v>
      </c>
      <c r="D1" s="38" t="s">
        <v>3</v>
      </c>
      <c r="E1" s="38" t="s">
        <v>4</v>
      </c>
      <c r="F1" s="38" t="s">
        <v>5</v>
      </c>
      <c r="G1" s="37" t="s">
        <v>6</v>
      </c>
      <c r="H1" s="38" t="s">
        <v>9</v>
      </c>
      <c r="I1" s="38" t="s">
        <v>10</v>
      </c>
      <c r="J1" s="38" t="s">
        <v>11</v>
      </c>
      <c r="K1" s="37" t="s">
        <v>13</v>
      </c>
    </row>
    <row r="2" spans="1:11" ht="204">
      <c r="A2" s="41" t="s">
        <v>14</v>
      </c>
      <c r="B2" s="42" t="s">
        <v>46</v>
      </c>
      <c r="C2" s="49" t="s">
        <v>47</v>
      </c>
      <c r="D2" s="43">
        <v>0.5</v>
      </c>
      <c r="E2" s="43">
        <v>0.75</v>
      </c>
      <c r="F2" s="34">
        <f>D2*E2</f>
        <v>0.375</v>
      </c>
      <c r="G2" s="49" t="s">
        <v>48</v>
      </c>
      <c r="H2" s="43">
        <v>0.2</v>
      </c>
      <c r="I2" s="43">
        <v>0.45</v>
      </c>
      <c r="J2" s="34">
        <f t="shared" ref="J2:J33" si="0">H2*I2</f>
        <v>9.0000000000000011E-2</v>
      </c>
      <c r="K2" s="47"/>
    </row>
    <row r="3" spans="1:11" ht="204">
      <c r="A3" s="41" t="s">
        <v>15</v>
      </c>
      <c r="B3" s="42" t="s">
        <v>49</v>
      </c>
      <c r="C3" s="49" t="s">
        <v>50</v>
      </c>
      <c r="D3" s="43">
        <v>0.75</v>
      </c>
      <c r="E3" s="43">
        <v>0.9</v>
      </c>
      <c r="F3" s="34">
        <f t="shared" ref="F3:F33" si="1">D3*E3</f>
        <v>0.67500000000000004</v>
      </c>
      <c r="G3" s="49" t="s">
        <v>51</v>
      </c>
      <c r="H3" s="43">
        <v>0.3</v>
      </c>
      <c r="I3" s="43">
        <v>0.45</v>
      </c>
      <c r="J3" s="34">
        <f t="shared" si="0"/>
        <v>0.13500000000000001</v>
      </c>
      <c r="K3" s="47"/>
    </row>
    <row r="4" spans="1:11" ht="171.75">
      <c r="A4" s="41" t="s">
        <v>16</v>
      </c>
      <c r="B4" s="42" t="s">
        <v>52</v>
      </c>
      <c r="C4" s="49" t="s">
        <v>53</v>
      </c>
      <c r="D4" s="43">
        <v>0.85</v>
      </c>
      <c r="E4" s="43">
        <v>0.5</v>
      </c>
      <c r="F4" s="34">
        <f t="shared" si="1"/>
        <v>0.42499999999999999</v>
      </c>
      <c r="G4" s="49" t="s">
        <v>54</v>
      </c>
      <c r="H4" s="43">
        <v>0.25</v>
      </c>
      <c r="I4" s="43">
        <v>0.05</v>
      </c>
      <c r="J4" s="34">
        <f t="shared" si="0"/>
        <v>1.2500000000000001E-2</v>
      </c>
      <c r="K4" s="47"/>
    </row>
    <row r="5" spans="1:11" ht="289.5">
      <c r="A5" s="41" t="s">
        <v>17</v>
      </c>
      <c r="B5" s="42" t="s">
        <v>55</v>
      </c>
      <c r="C5" s="49" t="s">
        <v>56</v>
      </c>
      <c r="D5" s="43">
        <v>0.5</v>
      </c>
      <c r="E5" s="43">
        <v>0.2</v>
      </c>
      <c r="F5" s="34">
        <f t="shared" si="1"/>
        <v>0.1</v>
      </c>
      <c r="G5" s="49" t="s">
        <v>57</v>
      </c>
      <c r="H5" s="43">
        <v>0.1</v>
      </c>
      <c r="I5" s="43">
        <v>0.01</v>
      </c>
      <c r="J5" s="34">
        <f t="shared" si="0"/>
        <v>1E-3</v>
      </c>
      <c r="K5" s="47"/>
    </row>
    <row r="6" spans="1:11" ht="192.75">
      <c r="A6" s="41" t="s">
        <v>18</v>
      </c>
      <c r="B6" s="42" t="s">
        <v>58</v>
      </c>
      <c r="C6" s="49" t="s">
        <v>59</v>
      </c>
      <c r="D6" s="43">
        <v>0.2</v>
      </c>
      <c r="E6" s="43">
        <v>0.85</v>
      </c>
      <c r="F6" s="34">
        <f t="shared" si="1"/>
        <v>0.17</v>
      </c>
      <c r="G6" s="49" t="s">
        <v>60</v>
      </c>
      <c r="H6" s="43">
        <v>0.05</v>
      </c>
      <c r="I6" s="43">
        <v>0.7</v>
      </c>
      <c r="J6" s="34">
        <f t="shared" si="0"/>
        <v>3.4999999999999996E-2</v>
      </c>
      <c r="K6" s="47"/>
    </row>
    <row r="7" spans="1:11" ht="139.5">
      <c r="A7" s="41" t="s">
        <v>19</v>
      </c>
      <c r="B7" s="42" t="s">
        <v>61</v>
      </c>
      <c r="C7" s="49" t="s">
        <v>62</v>
      </c>
      <c r="D7" s="43">
        <v>0.9</v>
      </c>
      <c r="E7" s="43">
        <v>0.65</v>
      </c>
      <c r="F7" s="34">
        <f t="shared" si="1"/>
        <v>0.58500000000000008</v>
      </c>
      <c r="G7" s="49" t="s">
        <v>63</v>
      </c>
      <c r="H7" s="43">
        <v>0.3</v>
      </c>
      <c r="I7" s="43">
        <v>0.05</v>
      </c>
      <c r="J7" s="34">
        <f t="shared" si="0"/>
        <v>1.4999999999999999E-2</v>
      </c>
      <c r="K7" s="47"/>
    </row>
    <row r="8" spans="1:11" ht="214.5">
      <c r="A8" s="41" t="s">
        <v>20</v>
      </c>
      <c r="B8" s="42" t="s">
        <v>64</v>
      </c>
      <c r="C8" s="49" t="s">
        <v>65</v>
      </c>
      <c r="D8" s="43">
        <v>0.75</v>
      </c>
      <c r="E8" s="43">
        <v>0.65</v>
      </c>
      <c r="F8" s="34">
        <f t="shared" si="1"/>
        <v>0.48750000000000004</v>
      </c>
      <c r="G8" s="49" t="s">
        <v>66</v>
      </c>
      <c r="H8" s="43">
        <v>0.2</v>
      </c>
      <c r="I8" s="43">
        <v>0.1</v>
      </c>
      <c r="J8" s="34">
        <f t="shared" si="0"/>
        <v>2.0000000000000004E-2</v>
      </c>
      <c r="K8" s="47"/>
    </row>
    <row r="9" spans="1:11" ht="171.75">
      <c r="A9" s="41" t="s">
        <v>21</v>
      </c>
      <c r="B9" s="42" t="s">
        <v>67</v>
      </c>
      <c r="C9" s="49" t="s">
        <v>68</v>
      </c>
      <c r="D9" s="43">
        <v>0.35</v>
      </c>
      <c r="E9" s="43">
        <v>0.3</v>
      </c>
      <c r="F9" s="34">
        <f t="shared" si="1"/>
        <v>0.105</v>
      </c>
      <c r="G9" s="49" t="s">
        <v>69</v>
      </c>
      <c r="H9" s="43">
        <v>0.05</v>
      </c>
      <c r="I9" s="43">
        <v>0.01</v>
      </c>
      <c r="J9" s="34">
        <f t="shared" si="0"/>
        <v>5.0000000000000001E-4</v>
      </c>
      <c r="K9" s="47"/>
    </row>
    <row r="10" spans="1:11" ht="257.25">
      <c r="A10" s="41" t="s">
        <v>22</v>
      </c>
      <c r="B10" s="42" t="s">
        <v>70</v>
      </c>
      <c r="C10" s="49" t="s">
        <v>71</v>
      </c>
      <c r="D10" s="43">
        <v>0.6</v>
      </c>
      <c r="E10" s="43">
        <v>0.9</v>
      </c>
      <c r="F10" s="34">
        <f t="shared" si="1"/>
        <v>0.54</v>
      </c>
      <c r="G10" s="49" t="s">
        <v>72</v>
      </c>
      <c r="H10" s="43">
        <v>0.1</v>
      </c>
      <c r="I10" s="43">
        <v>0.4</v>
      </c>
      <c r="J10" s="34">
        <f t="shared" si="0"/>
        <v>4.0000000000000008E-2</v>
      </c>
      <c r="K10" s="47"/>
    </row>
    <row r="11" spans="1:11" ht="207.75">
      <c r="A11" s="41" t="s">
        <v>23</v>
      </c>
      <c r="B11" s="42" t="s">
        <v>73</v>
      </c>
      <c r="C11" s="42" t="s">
        <v>74</v>
      </c>
      <c r="D11" s="43">
        <v>0.25</v>
      </c>
      <c r="E11" s="43">
        <v>0.8</v>
      </c>
      <c r="F11" s="34">
        <f t="shared" si="1"/>
        <v>0.2</v>
      </c>
      <c r="G11" s="42" t="s">
        <v>75</v>
      </c>
      <c r="H11" s="43">
        <v>0.05</v>
      </c>
      <c r="I11" s="43">
        <v>0.6</v>
      </c>
      <c r="J11" s="34">
        <f t="shared" si="0"/>
        <v>0.03</v>
      </c>
      <c r="K11" s="47"/>
    </row>
    <row r="12" spans="1:11" ht="243">
      <c r="A12" s="41" t="s">
        <v>24</v>
      </c>
      <c r="B12" s="42" t="s">
        <v>76</v>
      </c>
      <c r="C12" s="42" t="s">
        <v>77</v>
      </c>
      <c r="D12" s="43">
        <v>0.2</v>
      </c>
      <c r="E12" s="43">
        <v>0.65</v>
      </c>
      <c r="F12" s="34">
        <f t="shared" si="1"/>
        <v>0.13</v>
      </c>
      <c r="G12" s="42" t="s">
        <v>78</v>
      </c>
      <c r="H12" s="43">
        <v>0.15</v>
      </c>
      <c r="I12" s="43">
        <v>0.5</v>
      </c>
      <c r="J12" s="34">
        <f t="shared" si="0"/>
        <v>7.4999999999999997E-2</v>
      </c>
      <c r="K12" s="47"/>
    </row>
    <row r="13" spans="1:11" ht="174">
      <c r="A13" s="41" t="s">
        <v>25</v>
      </c>
      <c r="B13" s="42" t="s">
        <v>79</v>
      </c>
      <c r="C13" s="42" t="s">
        <v>80</v>
      </c>
      <c r="D13" s="43">
        <v>0.75</v>
      </c>
      <c r="E13" s="43">
        <v>0.55000000000000004</v>
      </c>
      <c r="F13" s="34">
        <f t="shared" si="1"/>
        <v>0.41250000000000003</v>
      </c>
      <c r="G13" s="42" t="s">
        <v>81</v>
      </c>
      <c r="H13" s="43">
        <v>0.15</v>
      </c>
      <c r="I13" s="43">
        <v>0.1</v>
      </c>
      <c r="J13" s="34">
        <f t="shared" si="0"/>
        <v>1.4999999999999999E-2</v>
      </c>
      <c r="K13" s="47"/>
    </row>
    <row r="14" spans="1:11" ht="255">
      <c r="A14" s="41" t="s">
        <v>26</v>
      </c>
      <c r="B14" s="42" t="s">
        <v>82</v>
      </c>
      <c r="C14" s="42" t="s">
        <v>83</v>
      </c>
      <c r="D14" s="43">
        <v>0.5</v>
      </c>
      <c r="E14" s="43">
        <v>0.8</v>
      </c>
      <c r="F14" s="34">
        <f t="shared" si="1"/>
        <v>0.4</v>
      </c>
      <c r="G14" s="42" t="s">
        <v>84</v>
      </c>
      <c r="H14" s="43">
        <v>0.1</v>
      </c>
      <c r="I14" s="43">
        <v>0.4</v>
      </c>
      <c r="J14" s="34">
        <f t="shared" si="0"/>
        <v>4.0000000000000008E-2</v>
      </c>
      <c r="K14" s="47"/>
    </row>
    <row r="15" spans="1:11" ht="174">
      <c r="A15" s="41" t="s">
        <v>27</v>
      </c>
      <c r="B15" s="42" t="s">
        <v>85</v>
      </c>
      <c r="C15" s="42" t="s">
        <v>86</v>
      </c>
      <c r="D15" s="43">
        <v>0.15</v>
      </c>
      <c r="E15" s="43">
        <v>0.25</v>
      </c>
      <c r="F15" s="34">
        <f t="shared" si="1"/>
        <v>3.7499999999999999E-2</v>
      </c>
      <c r="G15" s="42" t="s">
        <v>87</v>
      </c>
      <c r="H15" s="43">
        <v>0.02</v>
      </c>
      <c r="I15" s="43">
        <v>0.1</v>
      </c>
      <c r="J15" s="34">
        <f t="shared" si="0"/>
        <v>2E-3</v>
      </c>
      <c r="K15" s="47"/>
    </row>
    <row r="16" spans="1:11" ht="231">
      <c r="A16" s="41" t="s">
        <v>28</v>
      </c>
      <c r="B16" s="42" t="s">
        <v>88</v>
      </c>
      <c r="C16" s="42" t="s">
        <v>89</v>
      </c>
      <c r="D16" s="43">
        <v>0.6</v>
      </c>
      <c r="E16" s="43">
        <v>0.75</v>
      </c>
      <c r="F16" s="34">
        <f t="shared" si="1"/>
        <v>0.44999999999999996</v>
      </c>
      <c r="G16" s="42" t="s">
        <v>90</v>
      </c>
      <c r="H16" s="43">
        <v>0.25</v>
      </c>
      <c r="I16" s="43">
        <v>0.4</v>
      </c>
      <c r="J16" s="34">
        <f t="shared" si="0"/>
        <v>0.1</v>
      </c>
      <c r="K16" s="47"/>
    </row>
    <row r="17" spans="1:11" ht="219.75">
      <c r="A17" s="41" t="s">
        <v>29</v>
      </c>
      <c r="B17" s="42" t="s">
        <v>91</v>
      </c>
      <c r="C17" s="42" t="s">
        <v>92</v>
      </c>
      <c r="D17" s="43">
        <v>0.5</v>
      </c>
      <c r="E17" s="43">
        <v>0.6</v>
      </c>
      <c r="F17" s="34">
        <f t="shared" si="1"/>
        <v>0.3</v>
      </c>
      <c r="G17" s="42" t="s">
        <v>93</v>
      </c>
      <c r="H17" s="43">
        <v>0.1</v>
      </c>
      <c r="I17" s="43">
        <v>0.2</v>
      </c>
      <c r="J17" s="34">
        <f t="shared" si="0"/>
        <v>2.0000000000000004E-2</v>
      </c>
      <c r="K17" s="47"/>
    </row>
    <row r="18" spans="1:11" ht="185.25">
      <c r="A18" s="41" t="s">
        <v>30</v>
      </c>
      <c r="B18" s="42" t="s">
        <v>94</v>
      </c>
      <c r="C18" s="42" t="s">
        <v>95</v>
      </c>
      <c r="D18" s="43">
        <v>0.5</v>
      </c>
      <c r="E18" s="43">
        <v>0.5</v>
      </c>
      <c r="F18" s="34">
        <f t="shared" si="1"/>
        <v>0.25</v>
      </c>
      <c r="G18" s="42" t="s">
        <v>96</v>
      </c>
      <c r="H18" s="43">
        <v>0.3</v>
      </c>
      <c r="I18" s="43">
        <v>0.3</v>
      </c>
      <c r="J18" s="34">
        <f t="shared" si="0"/>
        <v>0.09</v>
      </c>
      <c r="K18" s="47"/>
    </row>
    <row r="19" spans="1:11" ht="196.5">
      <c r="A19" s="41" t="s">
        <v>31</v>
      </c>
      <c r="B19" s="42" t="s">
        <v>97</v>
      </c>
      <c r="C19" s="42" t="s">
        <v>98</v>
      </c>
      <c r="D19" s="43">
        <v>0.2</v>
      </c>
      <c r="E19" s="43">
        <v>0.6</v>
      </c>
      <c r="F19" s="34">
        <f t="shared" si="1"/>
        <v>0.12</v>
      </c>
      <c r="G19" s="42" t="s">
        <v>99</v>
      </c>
      <c r="H19" s="43">
        <v>0.05</v>
      </c>
      <c r="I19" s="43">
        <v>0.2</v>
      </c>
      <c r="J19" s="34">
        <f t="shared" si="0"/>
        <v>1.0000000000000002E-2</v>
      </c>
      <c r="K19" s="47"/>
    </row>
    <row r="20" spans="1:11" ht="196.5">
      <c r="A20" s="41" t="s">
        <v>32</v>
      </c>
      <c r="B20" s="42" t="s">
        <v>100</v>
      </c>
      <c r="C20" s="42" t="s">
        <v>101</v>
      </c>
      <c r="D20" s="43">
        <v>0.6</v>
      </c>
      <c r="E20" s="43">
        <v>0.4</v>
      </c>
      <c r="F20" s="34">
        <f t="shared" si="1"/>
        <v>0.24</v>
      </c>
      <c r="G20" s="42" t="s">
        <v>102</v>
      </c>
      <c r="H20" s="43">
        <v>0.3</v>
      </c>
      <c r="I20" s="43">
        <v>0.1</v>
      </c>
      <c r="J20" s="34">
        <f t="shared" si="0"/>
        <v>0.03</v>
      </c>
      <c r="K20" s="47"/>
    </row>
    <row r="21" spans="1:11" ht="207.75">
      <c r="A21" s="41" t="s">
        <v>33</v>
      </c>
      <c r="B21" s="42" t="s">
        <v>103</v>
      </c>
      <c r="C21" s="42" t="s">
        <v>104</v>
      </c>
      <c r="D21" s="43">
        <v>0.45</v>
      </c>
      <c r="E21" s="43">
        <v>0.8</v>
      </c>
      <c r="F21" s="34">
        <f t="shared" si="1"/>
        <v>0.36000000000000004</v>
      </c>
      <c r="G21" s="42" t="s">
        <v>105</v>
      </c>
      <c r="H21" s="43">
        <v>0.15</v>
      </c>
      <c r="I21" s="43">
        <v>0.5</v>
      </c>
      <c r="J21" s="34">
        <f t="shared" si="0"/>
        <v>7.4999999999999997E-2</v>
      </c>
      <c r="K21" s="47"/>
    </row>
    <row r="22" spans="1:11" ht="185.25">
      <c r="A22" s="41" t="s">
        <v>34</v>
      </c>
      <c r="B22" s="42" t="s">
        <v>106</v>
      </c>
      <c r="C22" s="42" t="s">
        <v>107</v>
      </c>
      <c r="D22" s="43">
        <v>0.8</v>
      </c>
      <c r="E22" s="43">
        <v>0.55000000000000004</v>
      </c>
      <c r="F22" s="34">
        <f t="shared" si="1"/>
        <v>0.44000000000000006</v>
      </c>
      <c r="G22" s="42" t="s">
        <v>108</v>
      </c>
      <c r="H22" s="43">
        <v>0.4</v>
      </c>
      <c r="I22" s="43">
        <v>0.2</v>
      </c>
      <c r="J22" s="34">
        <f t="shared" si="0"/>
        <v>8.0000000000000016E-2</v>
      </c>
      <c r="K22" s="47"/>
    </row>
    <row r="23" spans="1:11" ht="243">
      <c r="A23" s="41" t="s">
        <v>35</v>
      </c>
      <c r="B23" s="42" t="s">
        <v>109</v>
      </c>
      <c r="C23" s="42" t="s">
        <v>110</v>
      </c>
      <c r="D23" s="43">
        <v>0.3</v>
      </c>
      <c r="E23" s="43">
        <v>0.7</v>
      </c>
      <c r="F23" s="34">
        <f t="shared" si="1"/>
        <v>0.21</v>
      </c>
      <c r="G23" s="42" t="s">
        <v>111</v>
      </c>
      <c r="H23" s="43">
        <v>0.03</v>
      </c>
      <c r="I23" s="43">
        <v>0.25</v>
      </c>
      <c r="J23" s="34">
        <f t="shared" si="0"/>
        <v>7.4999999999999997E-3</v>
      </c>
      <c r="K23" s="47"/>
    </row>
    <row r="24" spans="1:11" ht="243">
      <c r="A24" s="44" t="s">
        <v>36</v>
      </c>
      <c r="B24" s="45" t="s">
        <v>112</v>
      </c>
      <c r="C24" s="42" t="s">
        <v>113</v>
      </c>
      <c r="D24" s="46">
        <v>0.15</v>
      </c>
      <c r="E24" s="46">
        <v>0.8</v>
      </c>
      <c r="F24" s="35">
        <f>D24*E24</f>
        <v>0.12</v>
      </c>
      <c r="G24" s="42" t="s">
        <v>114</v>
      </c>
      <c r="H24" s="43">
        <v>0.03</v>
      </c>
      <c r="I24" s="43">
        <v>0.35</v>
      </c>
      <c r="J24" s="35">
        <f>H24*I24</f>
        <v>1.0499999999999999E-2</v>
      </c>
      <c r="K24" s="48"/>
    </row>
    <row r="25" spans="1:11" ht="255">
      <c r="A25" s="44" t="s">
        <v>37</v>
      </c>
      <c r="B25" s="45" t="s">
        <v>115</v>
      </c>
      <c r="C25" s="45" t="s">
        <v>116</v>
      </c>
      <c r="D25" s="46">
        <v>0.2</v>
      </c>
      <c r="E25" s="46">
        <v>0.95</v>
      </c>
      <c r="F25" s="35">
        <f>D25*E25</f>
        <v>0.19</v>
      </c>
      <c r="G25" s="45" t="s">
        <v>117</v>
      </c>
      <c r="H25" s="43">
        <v>0.05</v>
      </c>
      <c r="I25" s="43">
        <v>0.3</v>
      </c>
      <c r="J25" s="35">
        <f>H25*I25</f>
        <v>1.4999999999999999E-2</v>
      </c>
      <c r="K25" s="48"/>
    </row>
    <row r="26" spans="1:11" ht="196.5">
      <c r="A26" s="44" t="s">
        <v>38</v>
      </c>
      <c r="B26" s="45" t="s">
        <v>118</v>
      </c>
      <c r="C26" s="45" t="s">
        <v>119</v>
      </c>
      <c r="D26" s="46">
        <v>0.4</v>
      </c>
      <c r="E26" s="46">
        <v>0.45</v>
      </c>
      <c r="F26" s="35">
        <f t="shared" si="1"/>
        <v>0.18000000000000002</v>
      </c>
      <c r="G26" s="45" t="s">
        <v>120</v>
      </c>
      <c r="H26" s="43">
        <v>0.2</v>
      </c>
      <c r="I26" s="43">
        <v>0.15</v>
      </c>
      <c r="J26" s="35">
        <f t="shared" si="0"/>
        <v>0.03</v>
      </c>
      <c r="K26" s="48"/>
    </row>
    <row r="27" spans="1:11" ht="231">
      <c r="A27" s="41" t="s">
        <v>39</v>
      </c>
      <c r="B27" s="42" t="s">
        <v>121</v>
      </c>
      <c r="C27" s="42" t="s">
        <v>122</v>
      </c>
      <c r="D27" s="51">
        <v>0.25</v>
      </c>
      <c r="E27" s="51">
        <v>0.65</v>
      </c>
      <c r="F27" s="52">
        <f t="shared" si="1"/>
        <v>0.16250000000000001</v>
      </c>
      <c r="G27" s="42" t="s">
        <v>123</v>
      </c>
      <c r="H27" s="51">
        <v>0.05</v>
      </c>
      <c r="I27" s="51">
        <v>0.3</v>
      </c>
      <c r="J27" s="54">
        <f t="shared" si="0"/>
        <v>1.4999999999999999E-2</v>
      </c>
      <c r="K27" s="55"/>
    </row>
    <row r="28" spans="1:11" ht="255">
      <c r="A28" s="41" t="s">
        <v>40</v>
      </c>
      <c r="B28" s="42" t="s">
        <v>124</v>
      </c>
      <c r="C28" s="42" t="s">
        <v>125</v>
      </c>
      <c r="D28" s="51">
        <v>0.35</v>
      </c>
      <c r="E28" s="51">
        <v>0.6</v>
      </c>
      <c r="F28" s="52">
        <f t="shared" si="1"/>
        <v>0.21</v>
      </c>
      <c r="G28" s="42" t="s">
        <v>126</v>
      </c>
      <c r="H28" s="51">
        <v>0.15</v>
      </c>
      <c r="I28" s="51">
        <v>0.25</v>
      </c>
      <c r="J28" s="54">
        <f t="shared" si="0"/>
        <v>3.7499999999999999E-2</v>
      </c>
      <c r="K28" s="55"/>
    </row>
    <row r="29" spans="1:11" ht="243">
      <c r="A29" s="41" t="s">
        <v>41</v>
      </c>
      <c r="B29" s="42" t="s">
        <v>127</v>
      </c>
      <c r="C29" s="42" t="s">
        <v>128</v>
      </c>
      <c r="D29" s="51">
        <v>0.45</v>
      </c>
      <c r="E29" s="51">
        <v>0.65</v>
      </c>
      <c r="F29" s="52">
        <f t="shared" si="1"/>
        <v>0.29250000000000004</v>
      </c>
      <c r="G29" s="42" t="s">
        <v>129</v>
      </c>
      <c r="H29" s="51">
        <v>0.3</v>
      </c>
      <c r="I29" s="51">
        <v>0.35</v>
      </c>
      <c r="J29" s="54">
        <f t="shared" si="0"/>
        <v>0.105</v>
      </c>
      <c r="K29" s="55"/>
    </row>
    <row r="30" spans="1:11" ht="207.75">
      <c r="A30" s="41" t="s">
        <v>42</v>
      </c>
      <c r="B30" s="42" t="s">
        <v>130</v>
      </c>
      <c r="C30" s="42" t="s">
        <v>131</v>
      </c>
      <c r="D30" s="51">
        <v>0.5</v>
      </c>
      <c r="E30" s="51">
        <v>0.35</v>
      </c>
      <c r="F30" s="52">
        <f t="shared" si="1"/>
        <v>0.17499999999999999</v>
      </c>
      <c r="G30" s="42" t="s">
        <v>132</v>
      </c>
      <c r="H30" s="51">
        <v>0.2</v>
      </c>
      <c r="I30" s="51">
        <v>0.1</v>
      </c>
      <c r="J30" s="54">
        <f t="shared" si="0"/>
        <v>2.0000000000000004E-2</v>
      </c>
      <c r="K30" s="55"/>
    </row>
    <row r="31" spans="1:11" ht="243">
      <c r="A31" s="41" t="s">
        <v>43</v>
      </c>
      <c r="B31" s="42" t="s">
        <v>133</v>
      </c>
      <c r="C31" s="42" t="s">
        <v>134</v>
      </c>
      <c r="D31" s="51">
        <v>0.55000000000000004</v>
      </c>
      <c r="E31" s="51">
        <v>0.85</v>
      </c>
      <c r="F31" s="52">
        <f t="shared" si="1"/>
        <v>0.46750000000000003</v>
      </c>
      <c r="G31" s="42" t="s">
        <v>135</v>
      </c>
      <c r="H31" s="51">
        <v>0.3</v>
      </c>
      <c r="I31" s="51">
        <v>0.2</v>
      </c>
      <c r="J31" s="54">
        <f t="shared" si="0"/>
        <v>0.06</v>
      </c>
      <c r="K31" s="55"/>
    </row>
    <row r="32" spans="1:11" ht="289.5">
      <c r="A32" s="41" t="s">
        <v>44</v>
      </c>
      <c r="B32" s="42" t="s">
        <v>136</v>
      </c>
      <c r="C32" s="42" t="s">
        <v>137</v>
      </c>
      <c r="D32" s="51">
        <v>0.3</v>
      </c>
      <c r="E32" s="51">
        <v>0.75</v>
      </c>
      <c r="F32" s="52">
        <f t="shared" si="1"/>
        <v>0.22499999999999998</v>
      </c>
      <c r="G32" s="42" t="s">
        <v>138</v>
      </c>
      <c r="H32" s="51">
        <v>0.1</v>
      </c>
      <c r="I32" s="51">
        <v>0.4</v>
      </c>
      <c r="J32" s="54">
        <f t="shared" si="0"/>
        <v>4.0000000000000008E-2</v>
      </c>
      <c r="K32" s="55"/>
    </row>
    <row r="33" spans="1:11" ht="219.75">
      <c r="A33" s="41" t="s">
        <v>45</v>
      </c>
      <c r="B33" s="42" t="s">
        <v>139</v>
      </c>
      <c r="C33" s="42" t="s">
        <v>140</v>
      </c>
      <c r="D33" s="51">
        <v>0.15</v>
      </c>
      <c r="E33" s="51">
        <v>0.75</v>
      </c>
      <c r="F33" s="52">
        <f t="shared" si="1"/>
        <v>0.11249999999999999</v>
      </c>
      <c r="G33" s="42" t="s">
        <v>141</v>
      </c>
      <c r="H33" s="51">
        <v>0.03</v>
      </c>
      <c r="I33" s="51">
        <v>0.4</v>
      </c>
      <c r="J33" s="54">
        <f t="shared" si="0"/>
        <v>1.2E-2</v>
      </c>
      <c r="K33" s="55"/>
    </row>
  </sheetData>
  <conditionalFormatting sqref="A2:A33">
    <cfRule type="duplicateValues" dxfId="17" priority="3"/>
  </conditionalFormatting>
  <conditionalFormatting sqref="H2:H26 H27:I33">
    <cfRule type="cellIs" dxfId="16" priority="2" operator="notEqual">
      <formula>D2</formula>
    </cfRule>
  </conditionalFormatting>
  <conditionalFormatting sqref="I2:I26">
    <cfRule type="cellIs" dxfId="15" priority="1" operator="notEqual">
      <formula>E2</formula>
    </cfRule>
  </conditionalFormatting>
  <conditionalFormatting sqref="J2:J33 F2:F33">
    <cfRule type="colorScale" priority="4">
      <colorScale>
        <cfvo type="percent" val="0"/>
        <cfvo type="percentile" val="50"/>
        <cfvo type="percent" val="100"/>
        <color rgb="FF0B6914"/>
        <color rgb="FFFFEB84"/>
        <color rgb="FFC00000"/>
      </colorScale>
    </cfRule>
  </conditionalFormatting>
  <hyperlinks>
    <hyperlink ref="A1" location="'Guidance on usage'!A1" display="ID" xr:uid="{51D88829-F13B-45DB-B346-6A6BB82DB86A}"/>
    <hyperlink ref="B1" location="'Guidance on usage'!A1" display="Risk description" xr:uid="{BD5FD4BD-B943-4C2F-A58C-C5D28BC49527}"/>
    <hyperlink ref="C1" location="'Guidance on usage'!A1" display="Impact description" xr:uid="{866B3C02-73F8-4F3F-9453-95F18C14F46E}"/>
    <hyperlink ref="D1" location="'Guidance on scoring'!A1" display="Prob" xr:uid="{BE9B7937-E6A2-4AEE-8F2C-4B8BAA1470DA}"/>
    <hyperlink ref="E1" location="'Guidance on scoring'!A1" display="Impact" xr:uid="{18EACA94-38DF-4317-95AF-F39FAF4F5BAD}"/>
    <hyperlink ref="F1" location="'Guidance on scoring'!A1" display="Priority" xr:uid="{CD6D1575-799E-4A57-B205-F062337B59C9}"/>
    <hyperlink ref="G1" location="'Guidance on usage'!A1" display="Mitigation description" xr:uid="{F09AA9DB-82DF-4046-BE9D-F135916CAA96}"/>
    <hyperlink ref="H1" location="'Guidance on scoring'!A1" display="Prob" xr:uid="{EF398B11-A141-4DDC-92C0-334D04115A0A}"/>
    <hyperlink ref="I1" location="'Guidance on scoring'!A1" display="Impact" xr:uid="{52BB2D42-4D0F-4400-ADA7-7A64F741801E}"/>
    <hyperlink ref="J1" location="'Guidance on scoring'!A1" display="Priority" xr:uid="{329A0D7B-CDA4-4771-A4A2-52C72D3570ED}"/>
  </hyperlink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11"/>
  <sheetViews>
    <sheetView showGridLines="0" topLeftCell="A2" zoomScaleNormal="100" workbookViewId="0">
      <selection activeCell="G7" sqref="G7"/>
    </sheetView>
  </sheetViews>
  <sheetFormatPr defaultColWidth="9" defaultRowHeight="13.9"/>
  <cols>
    <col min="1" max="1" width="6.625" style="3" customWidth="1"/>
    <col min="2" max="2" width="11.875" style="3" customWidth="1"/>
    <col min="3" max="3" width="24.875" style="3" customWidth="1"/>
    <col min="4" max="4" width="3.75" style="3" customWidth="1"/>
    <col min="5" max="9" width="19.875" style="3" customWidth="1"/>
    <col min="10" max="16384" width="9" style="3"/>
  </cols>
  <sheetData>
    <row r="1" spans="1:9" ht="35.450000000000003" thickBot="1">
      <c r="A1" s="56"/>
      <c r="B1" s="56"/>
      <c r="C1" s="56"/>
      <c r="D1" s="56"/>
      <c r="E1" s="63" t="s">
        <v>2</v>
      </c>
      <c r="F1" s="63"/>
      <c r="G1" s="63"/>
      <c r="H1" s="63"/>
      <c r="I1" s="63"/>
    </row>
    <row r="2" spans="1:9" s="2" customFormat="1" ht="26.1" customHeight="1">
      <c r="A2" s="57"/>
      <c r="B2" s="60"/>
      <c r="C2" s="60"/>
      <c r="D2" s="61"/>
      <c r="E2" s="15" t="s">
        <v>142</v>
      </c>
      <c r="F2" s="16" t="s">
        <v>143</v>
      </c>
      <c r="G2" s="16" t="s">
        <v>144</v>
      </c>
      <c r="H2" s="16" t="s">
        <v>145</v>
      </c>
      <c r="I2" s="17" t="s">
        <v>146</v>
      </c>
    </row>
    <row r="3" spans="1:9" s="2" customFormat="1" ht="78" customHeight="1">
      <c r="A3" s="57"/>
      <c r="B3" s="4"/>
      <c r="C3" s="4"/>
      <c r="D3" s="11"/>
      <c r="E3" s="20" t="s">
        <v>147</v>
      </c>
      <c r="F3" s="21" t="s">
        <v>148</v>
      </c>
      <c r="G3" s="21" t="s">
        <v>149</v>
      </c>
      <c r="H3" s="21" t="s">
        <v>150</v>
      </c>
      <c r="I3" s="22" t="s">
        <v>151</v>
      </c>
    </row>
    <row r="4" spans="1:9" ht="17.25" customHeight="1" thickBot="1">
      <c r="A4" s="56"/>
      <c r="B4" s="5"/>
      <c r="C4" s="5"/>
      <c r="D4" s="58"/>
      <c r="E4" s="26">
        <v>1</v>
      </c>
      <c r="F4" s="27">
        <v>0.8</v>
      </c>
      <c r="G4" s="27">
        <v>0.62</v>
      </c>
      <c r="H4" s="27">
        <v>0.25</v>
      </c>
      <c r="I4" s="28">
        <v>0.01</v>
      </c>
    </row>
    <row r="5" spans="1:9" ht="75" customHeight="1">
      <c r="A5" s="62" t="s">
        <v>152</v>
      </c>
      <c r="B5" s="15" t="s">
        <v>153</v>
      </c>
      <c r="C5" s="12" t="s">
        <v>154</v>
      </c>
      <c r="D5" s="23">
        <v>1</v>
      </c>
      <c r="E5" s="29">
        <f>$D$5*E4</f>
        <v>1</v>
      </c>
      <c r="F5" s="29">
        <f t="shared" ref="F5:I5" si="0">$D$5*F4</f>
        <v>0.8</v>
      </c>
      <c r="G5" s="29">
        <f t="shared" si="0"/>
        <v>0.62</v>
      </c>
      <c r="H5" s="29">
        <f t="shared" si="0"/>
        <v>0.25</v>
      </c>
      <c r="I5" s="30">
        <f t="shared" si="0"/>
        <v>0.01</v>
      </c>
    </row>
    <row r="6" spans="1:9" ht="75" customHeight="1">
      <c r="A6" s="62"/>
      <c r="B6" s="18" t="s">
        <v>155</v>
      </c>
      <c r="C6" s="13" t="s">
        <v>156</v>
      </c>
      <c r="D6" s="24">
        <v>0.8</v>
      </c>
      <c r="E6" s="29">
        <f>$D$6*E4</f>
        <v>0.8</v>
      </c>
      <c r="F6" s="29">
        <f t="shared" ref="F6:I6" si="1">$D$6*F4</f>
        <v>0.64000000000000012</v>
      </c>
      <c r="G6" s="29">
        <f t="shared" si="1"/>
        <v>0.496</v>
      </c>
      <c r="H6" s="29">
        <f t="shared" si="1"/>
        <v>0.2</v>
      </c>
      <c r="I6" s="30">
        <f t="shared" si="1"/>
        <v>8.0000000000000002E-3</v>
      </c>
    </row>
    <row r="7" spans="1:9" ht="75" customHeight="1">
      <c r="A7" s="62"/>
      <c r="B7" s="18" t="s">
        <v>157</v>
      </c>
      <c r="C7" s="13" t="s">
        <v>158</v>
      </c>
      <c r="D7" s="24">
        <v>0.62</v>
      </c>
      <c r="E7" s="29">
        <f>$D$7*E4</f>
        <v>0.62</v>
      </c>
      <c r="F7" s="29">
        <f t="shared" ref="F7:I7" si="2">$D$7*F4</f>
        <v>0.496</v>
      </c>
      <c r="G7" s="29">
        <f t="shared" si="2"/>
        <v>0.38440000000000002</v>
      </c>
      <c r="H7" s="29">
        <f t="shared" si="2"/>
        <v>0.155</v>
      </c>
      <c r="I7" s="30">
        <f t="shared" si="2"/>
        <v>6.1999999999999998E-3</v>
      </c>
    </row>
    <row r="8" spans="1:9" ht="75" customHeight="1">
      <c r="A8" s="62"/>
      <c r="B8" s="18" t="s">
        <v>159</v>
      </c>
      <c r="C8" s="13" t="s">
        <v>160</v>
      </c>
      <c r="D8" s="24">
        <v>0.25</v>
      </c>
      <c r="E8" s="29">
        <f>$D$8*E4</f>
        <v>0.25</v>
      </c>
      <c r="F8" s="29">
        <f t="shared" ref="F8:I8" si="3">$D$8*F4</f>
        <v>0.2</v>
      </c>
      <c r="G8" s="29">
        <f t="shared" si="3"/>
        <v>0.155</v>
      </c>
      <c r="H8" s="29">
        <f t="shared" si="3"/>
        <v>6.25E-2</v>
      </c>
      <c r="I8" s="30">
        <f t="shared" si="3"/>
        <v>2.5000000000000001E-3</v>
      </c>
    </row>
    <row r="9" spans="1:9" ht="75" customHeight="1" thickBot="1">
      <c r="A9" s="62"/>
      <c r="B9" s="19" t="s">
        <v>161</v>
      </c>
      <c r="C9" s="14" t="s">
        <v>162</v>
      </c>
      <c r="D9" s="25">
        <v>0.01</v>
      </c>
      <c r="E9" s="31">
        <f>$D$9*E4</f>
        <v>0.01</v>
      </c>
      <c r="F9" s="31">
        <f t="shared" ref="F9:I9" si="4">$D$9*F4</f>
        <v>8.0000000000000002E-3</v>
      </c>
      <c r="G9" s="31">
        <f t="shared" si="4"/>
        <v>6.1999999999999998E-3</v>
      </c>
      <c r="H9" s="31">
        <f t="shared" si="4"/>
        <v>2.5000000000000001E-3</v>
      </c>
      <c r="I9" s="32">
        <f t="shared" si="4"/>
        <v>1E-4</v>
      </c>
    </row>
    <row r="10" spans="1:9" s="2" customFormat="1" ht="7.5" customHeight="1">
      <c r="A10" s="57"/>
      <c r="B10" s="59"/>
      <c r="C10" s="59"/>
      <c r="D10" s="59"/>
      <c r="E10" s="59"/>
      <c r="F10" s="59"/>
      <c r="G10" s="59"/>
      <c r="H10" s="59"/>
      <c r="I10" s="59"/>
    </row>
    <row r="11" spans="1:9" ht="33.75" customHeight="1">
      <c r="A11" s="56"/>
      <c r="B11" s="64"/>
      <c r="C11" s="65"/>
      <c r="D11" s="65"/>
      <c r="E11" s="65"/>
      <c r="F11" s="65"/>
      <c r="G11" s="65"/>
      <c r="H11" s="65"/>
      <c r="I11" s="65"/>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XYZ</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Gary Hinson</dc:creator>
  <cp:keywords/>
  <dc:description/>
  <cp:lastModifiedBy>Sadie Wise (Student)</cp:lastModifiedBy>
  <cp:revision/>
  <dcterms:created xsi:type="dcterms:W3CDTF">2001-03-01T12:12:37Z</dcterms:created>
  <dcterms:modified xsi:type="dcterms:W3CDTF">2025-08-21T09:58:32Z</dcterms:modified>
  <cp:category/>
  <cp:contentStatus/>
</cp:coreProperties>
</file>